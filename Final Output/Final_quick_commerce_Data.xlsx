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13_ncr:1_{C74FD8D2-0BA5-4CDD-931B-8303A2C97CE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Raw Data" sheetId="1" r:id="rId1"/>
    <sheet name="Brand Summary" sheetId="2" r:id="rId2"/>
    <sheet name="Platform 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2" i="2"/>
  <c r="A12" i="1"/>
  <c r="A391" i="1"/>
  <c r="A392" i="1"/>
  <c r="A48" i="1"/>
  <c r="A206" i="1"/>
  <c r="A424" i="1"/>
  <c r="A360" i="1"/>
  <c r="A13" i="1"/>
  <c r="A393" i="1"/>
  <c r="A332" i="1"/>
  <c r="A82" i="1"/>
  <c r="A14" i="1"/>
  <c r="A394" i="1"/>
  <c r="A209" i="1"/>
  <c r="A70" i="1"/>
  <c r="A83" i="1"/>
  <c r="A376" i="1"/>
  <c r="A395" i="1"/>
  <c r="A459" i="1"/>
  <c r="A49" i="1"/>
  <c r="A396" i="1"/>
  <c r="A397" i="1"/>
  <c r="A398" i="1"/>
  <c r="A15" i="1"/>
  <c r="A399" i="1"/>
  <c r="A460" i="1"/>
  <c r="A461" i="1"/>
  <c r="A84" i="1"/>
  <c r="A529" i="1"/>
  <c r="A16" i="1"/>
  <c r="A400" i="1"/>
  <c r="A230" i="1"/>
  <c r="A39" i="1"/>
  <c r="A71" i="1"/>
  <c r="A85" i="1"/>
  <c r="A17" i="1"/>
  <c r="A322" i="1"/>
  <c r="A401" i="1"/>
  <c r="A402" i="1"/>
  <c r="A86" i="1"/>
  <c r="A403" i="1"/>
  <c r="A462" i="1"/>
  <c r="A8" i="1"/>
  <c r="A50" i="1"/>
  <c r="A53" i="1"/>
  <c r="A164" i="1"/>
  <c r="A201" i="1"/>
  <c r="A217" i="1"/>
  <c r="A333" i="1"/>
  <c r="A377" i="1"/>
  <c r="A380" i="1"/>
  <c r="A404" i="1"/>
  <c r="A405" i="1"/>
  <c r="A420" i="1"/>
  <c r="A492" i="1"/>
  <c r="A521" i="1"/>
  <c r="A530" i="1"/>
  <c r="A381" i="1"/>
  <c r="A463" i="1"/>
  <c r="A406" i="1"/>
  <c r="A520" i="1"/>
  <c r="A7" i="1"/>
  <c r="A72" i="1"/>
  <c r="A210" i="1"/>
  <c r="A87" i="1"/>
  <c r="A407" i="1"/>
  <c r="A464" i="1"/>
  <c r="A296" i="1"/>
  <c r="A382" i="1"/>
  <c r="A408" i="1"/>
  <c r="A409" i="1"/>
  <c r="A410" i="1"/>
  <c r="A411" i="1"/>
  <c r="A412" i="1"/>
  <c r="A465" i="1"/>
  <c r="A443" i="1"/>
  <c r="A222" i="1"/>
  <c r="A157" i="1"/>
  <c r="A522" i="1"/>
  <c r="A233" i="1"/>
  <c r="A88" i="1"/>
  <c r="A160" i="1"/>
  <c r="A10" i="1"/>
  <c r="A89" i="1"/>
  <c r="A358" i="1"/>
  <c r="A413" i="1"/>
  <c r="A466" i="1"/>
  <c r="A223" i="1"/>
  <c r="A90" i="1"/>
  <c r="A444" i="1"/>
  <c r="A421" i="1"/>
  <c r="A18" i="1"/>
  <c r="A523" i="1"/>
  <c r="A383" i="1"/>
  <c r="A486" i="1"/>
  <c r="A262" i="1"/>
  <c r="A501" i="1"/>
  <c r="A263" i="1"/>
  <c r="A305" i="1"/>
  <c r="A306" i="1"/>
  <c r="A518" i="1"/>
  <c r="A425" i="1"/>
  <c r="A519" i="1"/>
  <c r="A40" i="1"/>
  <c r="A120" i="1"/>
  <c r="A307" i="1"/>
  <c r="A237" i="1"/>
  <c r="A453" i="1"/>
  <c r="A234" i="1"/>
  <c r="A235" i="1"/>
  <c r="A74" i="1"/>
  <c r="A440" i="1"/>
  <c r="A441" i="1"/>
  <c r="A4" i="1"/>
  <c r="A442" i="1"/>
  <c r="A91" i="1"/>
  <c r="A458" i="1"/>
  <c r="A100" i="1"/>
  <c r="A208" i="1"/>
  <c r="A438" i="1"/>
  <c r="A75" i="1"/>
  <c r="A264" i="1"/>
  <c r="A467" i="1"/>
  <c r="A37" i="1"/>
  <c r="A468" i="1"/>
  <c r="A207" i="1"/>
  <c r="A502" i="1"/>
  <c r="A430" i="1"/>
  <c r="A44" i="1"/>
  <c r="A45" i="1"/>
  <c r="A329" i="1"/>
  <c r="A46" i="1"/>
  <c r="A47" i="1"/>
  <c r="A19" i="1"/>
  <c r="A330" i="1"/>
  <c r="A265" i="1"/>
  <c r="A238" i="1"/>
  <c r="A92" i="1"/>
  <c r="A469" i="1"/>
  <c r="A531" i="1"/>
  <c r="A11" i="1"/>
  <c r="A51" i="1"/>
  <c r="A41" i="1"/>
  <c r="A211" i="1"/>
  <c r="A347" i="1"/>
  <c r="A20" i="1"/>
  <c r="A348" i="1"/>
  <c r="A503" i="1"/>
  <c r="A532" i="1"/>
  <c r="A93" i="1"/>
  <c r="A504" i="1"/>
  <c r="A266" i="1"/>
  <c r="A267" i="1"/>
  <c r="A231" i="1"/>
  <c r="A239" i="1"/>
  <c r="A240" i="1"/>
  <c r="A349" i="1"/>
  <c r="A21" i="1"/>
  <c r="A470" i="1"/>
  <c r="A488" i="1"/>
  <c r="A505" i="1"/>
  <c r="A22" i="1"/>
  <c r="A28" i="1"/>
  <c r="A431" i="1"/>
  <c r="A241" i="1"/>
  <c r="A94" i="1"/>
  <c r="A350" i="1"/>
  <c r="A341" i="1"/>
  <c r="A242" i="1"/>
  <c r="A414" i="1"/>
  <c r="A29" i="1"/>
  <c r="A268" i="1"/>
  <c r="A23" i="1"/>
  <c r="A95" i="1"/>
  <c r="A38" i="1"/>
  <c r="A121" i="1"/>
  <c r="A30" i="1"/>
  <c r="A243" i="1"/>
  <c r="A471" i="1"/>
  <c r="A489" i="1"/>
  <c r="A415" i="1"/>
  <c r="A416" i="1"/>
  <c r="A342" i="1"/>
  <c r="A533" i="1"/>
  <c r="A482" i="1"/>
  <c r="A472" i="1"/>
  <c r="A506" i="1"/>
  <c r="A35" i="1"/>
  <c r="A24" i="1"/>
  <c r="A426" i="1"/>
  <c r="A122" i="1"/>
  <c r="A297" i="1"/>
  <c r="A427" i="1"/>
  <c r="A269" i="1"/>
  <c r="A473" i="1"/>
  <c r="A270" i="1"/>
  <c r="A308" i="1"/>
  <c r="A5" i="1"/>
  <c r="A474" i="1"/>
  <c r="A244" i="1"/>
  <c r="A343" i="1"/>
  <c r="A327" i="1"/>
  <c r="A359" i="1"/>
  <c r="A475" i="1"/>
  <c r="A417" i="1"/>
  <c r="A418" i="1"/>
  <c r="A42" i="1"/>
  <c r="A534" i="1"/>
  <c r="A345" i="1"/>
  <c r="A220" i="1"/>
  <c r="A507" i="1"/>
  <c r="A508" i="1"/>
  <c r="A99" i="1"/>
  <c r="A6" i="1"/>
  <c r="A439" i="1"/>
  <c r="A509" i="1"/>
  <c r="A386" i="1"/>
  <c r="A387" i="1"/>
  <c r="A166" i="1"/>
  <c r="A309" i="1"/>
  <c r="A228" i="1"/>
  <c r="A428" i="1"/>
  <c r="A221" i="1"/>
  <c r="A510" i="1"/>
  <c r="A271" i="1"/>
  <c r="A446" i="1"/>
  <c r="A447" i="1"/>
  <c r="A272" i="1"/>
  <c r="A511" i="1"/>
  <c r="A123" i="1"/>
  <c r="A361" i="1"/>
  <c r="A450" i="1"/>
  <c r="A432" i="1"/>
  <c r="A167" i="1"/>
  <c r="A152" i="1"/>
  <c r="A273" i="1"/>
  <c r="A351" i="1"/>
  <c r="A124" i="1"/>
  <c r="A429" i="1"/>
  <c r="A229" i="1"/>
  <c r="A31" i="1"/>
  <c r="A298" i="1"/>
  <c r="A310" i="1"/>
  <c r="A448" i="1"/>
  <c r="A483" i="1"/>
  <c r="A535" i="1"/>
  <c r="A32" i="1"/>
  <c r="A227" i="1"/>
  <c r="A338" i="1"/>
  <c r="A512" i="1"/>
  <c r="A454" i="1"/>
  <c r="A449" i="1"/>
  <c r="A212" i="1"/>
  <c r="A218" i="1"/>
  <c r="A43" i="1"/>
  <c r="A274" i="1"/>
  <c r="A299" i="1"/>
  <c r="A9" i="1"/>
  <c r="A33" i="1"/>
  <c r="A158" i="1"/>
  <c r="A352" i="1"/>
  <c r="A437" i="1"/>
  <c r="A2" i="1"/>
  <c r="A275" i="1"/>
  <c r="A276" i="1"/>
  <c r="A34" i="1"/>
  <c r="A125" i="1"/>
  <c r="A202" i="1"/>
  <c r="A277" i="1"/>
  <c r="A300" i="1"/>
  <c r="A328" i="1"/>
  <c r="A331" i="1"/>
  <c r="A445" i="1"/>
  <c r="A513" i="1"/>
  <c r="A515" i="1"/>
  <c r="A163" i="1"/>
  <c r="A301" i="1"/>
  <c r="A514" i="1"/>
  <c r="A540" i="1"/>
  <c r="A344" i="1"/>
  <c r="A536" i="1"/>
  <c r="A537" i="1"/>
  <c r="A52" i="1"/>
  <c r="A55" i="1"/>
  <c r="A96" i="1"/>
  <c r="A159" i="1"/>
  <c r="A213" i="1"/>
  <c r="A224" i="1"/>
  <c r="A232" i="1"/>
  <c r="A278" i="1"/>
  <c r="A302" i="1"/>
  <c r="A303" i="1"/>
  <c r="A323" i="1"/>
  <c r="A339" i="1"/>
  <c r="A340" i="1"/>
  <c r="A353" i="1"/>
  <c r="A419" i="1"/>
  <c r="A451" i="1"/>
  <c r="A452" i="1"/>
  <c r="A455" i="1"/>
  <c r="A485" i="1"/>
  <c r="A3" i="1"/>
  <c r="A56" i="1"/>
  <c r="A73" i="1"/>
  <c r="A76" i="1"/>
  <c r="A77" i="1"/>
  <c r="A97" i="1"/>
  <c r="A98" i="1"/>
  <c r="A126" i="1"/>
  <c r="A127" i="1"/>
  <c r="A205" i="1"/>
  <c r="A168" i="1"/>
  <c r="A169" i="1"/>
  <c r="A170" i="1"/>
  <c r="A171" i="1"/>
  <c r="A172" i="1"/>
  <c r="A173" i="1"/>
  <c r="A203" i="1"/>
  <c r="A214" i="1"/>
  <c r="A219" i="1"/>
  <c r="A279" i="1"/>
  <c r="A280" i="1"/>
  <c r="A304" i="1"/>
  <c r="A236" i="1"/>
  <c r="A313" i="1"/>
  <c r="A324" i="1"/>
  <c r="A162" i="1"/>
  <c r="G102" i="1"/>
  <c r="G335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01" i="1"/>
</calcChain>
</file>

<file path=xl/sharedStrings.xml><?xml version="1.0" encoding="utf-8"?>
<sst xmlns="http://schemas.openxmlformats.org/spreadsheetml/2006/main" count="4892" uniqueCount="1046">
  <si>
    <t>Brand Name</t>
  </si>
  <si>
    <t>Product Name</t>
  </si>
  <si>
    <t>Platform</t>
  </si>
  <si>
    <t>Pin Code</t>
  </si>
  <si>
    <t>Area</t>
  </si>
  <si>
    <t>MRP (₹)</t>
  </si>
  <si>
    <t>Selling Price (₹)</t>
  </si>
  <si>
    <t>Discount (%)</t>
  </si>
  <si>
    <t>Stock Status</t>
  </si>
  <si>
    <t>Delivery Time (min)</t>
  </si>
  <si>
    <t>L'Oréal</t>
  </si>
  <si>
    <t>Blinkit</t>
  </si>
  <si>
    <t>Dove</t>
  </si>
  <si>
    <t>Instamart</t>
  </si>
  <si>
    <t>Tresemme</t>
  </si>
  <si>
    <t>Head &amp; Shoulders</t>
  </si>
  <si>
    <t>Clinic Plus</t>
  </si>
  <si>
    <t>Pantene</t>
  </si>
  <si>
    <t>Zepto</t>
  </si>
  <si>
    <t>Koramangala</t>
  </si>
  <si>
    <t>Available Platforms</t>
  </si>
  <si>
    <t>Avg Discount (%)</t>
  </si>
  <si>
    <t>Out of Stock Count</t>
  </si>
  <si>
    <t>No. of Brands Available</t>
  </si>
  <si>
    <t>Total Products</t>
  </si>
  <si>
    <t>Out of Stock Rate (%)</t>
  </si>
  <si>
    <t>Dove Bw Sakura Nw</t>
  </si>
  <si>
    <t>Dove Deeply Nourishing Body Wash Bottle</t>
  </si>
  <si>
    <t>Medimix Total Care Shampoo (160 + 40)</t>
  </si>
  <si>
    <t>Dove Intense Repair Conditioner</t>
  </si>
  <si>
    <t>Dove Glow Recharge Exfoliating Serum Body Wash with 3% Brightening Serum + Vitamin C</t>
  </si>
  <si>
    <t>Dove Daily Shine Damage Therapy Shampoo Mid Bottle</t>
  </si>
  <si>
    <t>Dove Lavendar X Chamomile Go Fresh Bodywash</t>
  </si>
  <si>
    <t>Dove Refreshing Body Wash</t>
  </si>
  <si>
    <t>Dove Revitalizing Body Wash With Scented Peach And Vitamin C</t>
  </si>
  <si>
    <t>Dove 10 In 1 Deep Repair Treatment Hair Mask</t>
  </si>
  <si>
    <t>Dove Intense Repair Shampoo</t>
  </si>
  <si>
    <t>Dove Hair Fall Rescue Conditioner</t>
  </si>
  <si>
    <t>Dove Hair Fall Rescue Shampoo</t>
  </si>
  <si>
    <t>Dove Daily Shine Conditioner (Packaging May Vary)</t>
  </si>
  <si>
    <t>Dove Daily Shine Shampoo &amp; Dove Daily Shine Conditioner</t>
  </si>
  <si>
    <t>Dove Glycolic Hydration Conditioner</t>
  </si>
  <si>
    <t>Swiggy</t>
  </si>
  <si>
    <t>Quantity</t>
  </si>
  <si>
    <t>1000 ml</t>
  </si>
  <si>
    <t>300 ml</t>
  </si>
  <si>
    <t>160 g</t>
  </si>
  <si>
    <t>175 ml</t>
  </si>
  <si>
    <t>180 ml</t>
  </si>
  <si>
    <t>800 ml</t>
  </si>
  <si>
    <t>120 g</t>
  </si>
  <si>
    <t>650 ml</t>
  </si>
  <si>
    <t>335 ml</t>
  </si>
  <si>
    <t>1 combo</t>
  </si>
  <si>
    <t>44% OFF</t>
  </si>
  <si>
    <t>12% OFF</t>
  </si>
  <si>
    <t>14% OFF</t>
  </si>
  <si>
    <t>30% OFF</t>
  </si>
  <si>
    <t>20% OFF</t>
  </si>
  <si>
    <t>57% OFF</t>
  </si>
  <si>
    <t>23% OFF</t>
  </si>
  <si>
    <t>45% OFF</t>
  </si>
  <si>
    <t>48% OFF</t>
  </si>
  <si>
    <t>35% OFF</t>
  </si>
  <si>
    <t>27% OFF</t>
  </si>
  <si>
    <t>Clinic Plus Strong &amp; Long Shampoo with Milk Proteins and Multivitamins</t>
  </si>
  <si>
    <t>Clinic Plus Strong &amp; Long Health Shampoo</t>
  </si>
  <si>
    <t>Clinic Plus Strength &amp; Shine With Egg Protein Shampoo</t>
  </si>
  <si>
    <t>Clinic Plus Naturally Strong Herbal Extract Shampoo</t>
  </si>
  <si>
    <t>Clinic Plus Strength &amp; Smooth Shampoo, Fenugreek Protein + Hibiscus</t>
  </si>
  <si>
    <t>Head &amp; Shoulders Smooth &amp; Silky Anti-Dandruff Shampoo</t>
  </si>
  <si>
    <t>Dove Dandruff Care Shampoo</t>
  </si>
  <si>
    <t>Parachute Pure Coconut Oil</t>
  </si>
  <si>
    <t>L'Oreal Paris Total Repair 5 Advanced Repairing Shampoo</t>
  </si>
  <si>
    <t>Pantene Advanced Hairfall Control Shampoo</t>
  </si>
  <si>
    <t>Mediker Anti-Lice Treatment Shampoo</t>
  </si>
  <si>
    <t>Head &amp; Shoulders Anti Dandruff Shampoo Smooth &amp; Silky</t>
  </si>
  <si>
    <t>80 ml</t>
  </si>
  <si>
    <t>340 ml</t>
  </si>
  <si>
    <t>355 ml</t>
  </si>
  <si>
    <t>72 ml</t>
  </si>
  <si>
    <t>200 ml</t>
  </si>
  <si>
    <t>50 ml x 2</t>
  </si>
  <si>
    <t>100 ml</t>
  </si>
  <si>
    <t>Clinic Plus Strength &amp; Shine Shampoo With Egg Protein</t>
  </si>
  <si>
    <t>Clinic Plus Strong &amp; Thick Shampoo With Rice Water, Protein + Vitamin E</t>
  </si>
  <si>
    <t>Clinic Plus Strong &amp; Thick Shampoo with Rice Water, Protein + Vitamin E</t>
  </si>
  <si>
    <t>Dabur Vatika Ayurvedic Shampoo</t>
  </si>
  <si>
    <t>Head &amp; Shoulders Anti Dandruff , Anti Hairfall Shampoo</t>
  </si>
  <si>
    <t>Dabur Vatika Health Shampoo</t>
  </si>
  <si>
    <t>Head &amp; Shoulders Smooth And Silky Anti Dandruff Shampoo</t>
  </si>
  <si>
    <t>Dabur Vatika Ayurvedic Shampoo Bottle</t>
  </si>
  <si>
    <t>Tresemme Hair Fall Defense Shampoo</t>
  </si>
  <si>
    <t>Meera Hair Fall Care Shampoo</t>
  </si>
  <si>
    <t>Head &amp; Shoulders Anti Dandruff Cool Menthol Shampoo</t>
  </si>
  <si>
    <t>640 ml</t>
  </si>
  <si>
    <t>185 ml</t>
  </si>
  <si>
    <t>580 ml</t>
  </si>
  <si>
    <t/>
  </si>
  <si>
    <t>25% OFF</t>
  </si>
  <si>
    <t>50% OFF</t>
  </si>
  <si>
    <t>24% OFF</t>
  </si>
  <si>
    <t>32% OFF</t>
  </si>
  <si>
    <t>3% OFF</t>
  </si>
  <si>
    <t>5% OFF</t>
  </si>
  <si>
    <t>28% OFF</t>
  </si>
  <si>
    <t>NULL</t>
  </si>
  <si>
    <t>Head &amp; Shoulders Deep Cleanse Dandruff Shampoo For Oily Scalp &amp; Dandruff</t>
  </si>
  <si>
    <t>Head &amp; Shoulders Anti Hair Fall Shampoo</t>
  </si>
  <si>
    <t>Medimix Total Care Shampoo (80 + 20)</t>
  </si>
  <si>
    <t>80 g</t>
  </si>
  <si>
    <t>Head &amp; Shoulders 2 In 1 Cool Menthol Anti Dandruff Shampoo + Conditioner</t>
  </si>
  <si>
    <t>Head &amp; Shoulders Cool Menthol Anti Dandruff Shampoo For Women &amp; Men</t>
  </si>
  <si>
    <t>1 ltr</t>
  </si>
  <si>
    <t>Head &amp; Shoulders 2-In-1 Cool Menthol Anti Dandruff Shampoo + Conditioner For Women &amp; Men</t>
  </si>
  <si>
    <t>Head &amp; Shoulders Anti Dandruff Shampoo + Conditioner, Active Protect</t>
  </si>
  <si>
    <t>675 ml</t>
  </si>
  <si>
    <t>46% OFF</t>
  </si>
  <si>
    <t>39% OFF</t>
  </si>
  <si>
    <t>38% OFF</t>
  </si>
  <si>
    <t>15% OFF</t>
  </si>
  <si>
    <t>Himalaya Anti-Dandruff Hair Cream</t>
  </si>
  <si>
    <t>Himalaya Herbals Extra Soft &amp; Gentle Baby Cream (Olive Oil &amp; Country Mallow)</t>
  </si>
  <si>
    <t>Himalaya Baby Powder (Khus Khus)</t>
  </si>
  <si>
    <t>700 g</t>
  </si>
  <si>
    <t>Himalaya anti-dandruff tea tree shampoo</t>
  </si>
  <si>
    <t>Himalaya Baby Cream With Pure Cow Ghee</t>
  </si>
  <si>
    <t>Himalaya Gentle Baby Powder 700g</t>
  </si>
  <si>
    <t>Himalaya Damage Repair Argan Oil Shampoo</t>
  </si>
  <si>
    <t>Himalaya Damage Repair Argan Oil Conditioner</t>
  </si>
  <si>
    <t>Himalaya Baby Hair Oil with Amla, Sesame &amp; Coconut Oil</t>
  </si>
  <si>
    <t>Himalaya Gentle Baby Powder 100g</t>
  </si>
  <si>
    <t>100 g</t>
  </si>
  <si>
    <t>10% OFF</t>
  </si>
  <si>
    <t>17% OFF</t>
  </si>
  <si>
    <t>11% OFF</t>
  </si>
  <si>
    <t>19% OFF</t>
  </si>
  <si>
    <t>16% OFF</t>
  </si>
  <si>
    <t>8% OFF</t>
  </si>
  <si>
    <t>L’Oréal Paris Hyaluron Pure 72H purifying shampoo for fresh scalp &amp; hydrated hair</t>
  </si>
  <si>
    <t>L’Oréal Professionnel Density Advanced Shampoo for Thinning Hair Visibly Increases Volume</t>
  </si>
  <si>
    <t>L'Oreal Paris Glycolic Gloss Shampoo, powered by Glycolic Acid, for dull hair,for 3x shine</t>
  </si>
  <si>
    <t>L'Oreal Paris Anti-Hair Fall Conditioner, Reinforcing &amp; Nourishing For Hair Growth</t>
  </si>
  <si>
    <t>L’Oréal Professionnel Absolut Repair Mask For Dry and Damaged Hair With Wheat Protein</t>
  </si>
  <si>
    <t>250 g</t>
  </si>
  <si>
    <t>L'Oreal Paris Total Repair 5 Shampoo</t>
  </si>
  <si>
    <t>L'Oréal Paris Casting Crème Gloss Hair Color With Glycolic Gloss Complex| Shade 200 - Ebony Black</t>
  </si>
  <si>
    <t>45 g</t>
  </si>
  <si>
    <t>L'Oreal Paris Total Repair 5 Conditioner</t>
  </si>
  <si>
    <t>L'Oreal Paris Casting Creme Gloss Hair Color (300 Darkest Brown)</t>
  </si>
  <si>
    <t>160 ml</t>
  </si>
  <si>
    <t>L'Oreal Paris Moisture Filling Shampoo with Hyaluronic Acid for Dry &amp; Dehydrated Hair</t>
  </si>
  <si>
    <t>L'Oreal Paris Dream Lengths Restoring Shampoo For Long Damaged Hair</t>
  </si>
  <si>
    <t>L'Oreal Paris Moisture Sealing Conditioner &amp; Moisture Filling Shampoo with Hyaluronic Acid for Dry and Dehydrated Hair</t>
  </si>
  <si>
    <t>L'Oreal Paris Total Repair 5 Shampoo&amp; Total Repair 5 Conditioner</t>
  </si>
  <si>
    <t>L'Oreal Paris Casting Creme Gloss Hair Color 200 Ebony Black Box</t>
  </si>
  <si>
    <t>159.5 g</t>
  </si>
  <si>
    <t>L'Oreal Paris Shampoo,650ml &amp;  Total Repair 5 Conditioner,180ml</t>
  </si>
  <si>
    <t>13% OFF</t>
  </si>
  <si>
    <t>7% OFF</t>
  </si>
  <si>
    <t>4% OFF</t>
  </si>
  <si>
    <t>43% OFF</t>
  </si>
  <si>
    <t>34% OFF</t>
  </si>
  <si>
    <t>21% OFF</t>
  </si>
  <si>
    <t>40% OFF</t>
  </si>
  <si>
    <t>Mamaearth Onion Hair Fall Shampoo</t>
  </si>
  <si>
    <t>250 ml</t>
  </si>
  <si>
    <t>Mamaearth Rice water shampoo</t>
  </si>
  <si>
    <t>Mamaearth Tea Tree Shampoo</t>
  </si>
  <si>
    <t>Mamaearth Natural Henna Paste With Henna Dark Roasted Coffee Naturally Colored Hair</t>
  </si>
  <si>
    <t>200 g</t>
  </si>
  <si>
    <t>Mamaearth Onion Conditioner for Hair Growth &amp; Hair Fall Control with Coconut Oil</t>
  </si>
  <si>
    <t>Mamaearth Kerala Thaali Conditioner</t>
  </si>
  <si>
    <t>Mamaearth Onion Shampoo For Hair Growth &amp; Hair Fall Control With Onion &amp; Plant Keratin</t>
  </si>
  <si>
    <t>Mamaearth Shampoo for Hair Fall Control &amp; Hair Growth with Onion &amp; Plant Keratin</t>
  </si>
  <si>
    <t>Mamaearth Rosemary Hair Growth Oil with Rosemary &amp; Methi Dana for Promoting Hair Growth Hair Oil 200 ml</t>
  </si>
  <si>
    <t>Mamaearth Onion Hair Oil For Hair Growth With Onion &amp; Redensyl For Hair Fall Control</t>
  </si>
  <si>
    <t>1% OFF</t>
  </si>
  <si>
    <t>Sunsilk Radiant Black Shine Shampoo</t>
  </si>
  <si>
    <t>350 ml</t>
  </si>
  <si>
    <t>Moxie Beauty Scalp Reviving Shampoo</t>
  </si>
  <si>
    <t>Sunsilk Lusciously Thick &amp; Long Conditioner</t>
  </si>
  <si>
    <t>Sunsilk Flowy Silk Smooth Shampoo</t>
  </si>
  <si>
    <t>Sunsilk Argan Oil Blands Frizz Smooth Shampoo</t>
  </si>
  <si>
    <t>700 ml</t>
  </si>
  <si>
    <t>Sunsilk Lusciously Thick &amp; Long Shampoo &amp; Sunsilk Lusciously Thick and Long Conditioner</t>
  </si>
  <si>
    <t>Sunsilk Lusciously Thick &amp; Long Shampoo With Keratin|| Yoghurt Protein &amp; Macadamia Oil</t>
  </si>
  <si>
    <t>Tresemme Keratin Smooth Shampoo</t>
  </si>
  <si>
    <t>TRESemme Keratin Smooth Conditioner</t>
  </si>
  <si>
    <t>190 ml</t>
  </si>
  <si>
    <t>Dove Daily Shine Shampoo</t>
  </si>
  <si>
    <t>Pantene Hair Science 2 in 1 Deep Repair Shampoo + Conditioner</t>
  </si>
  <si>
    <t>Tresemme Smooth &amp; Shine Shampoo</t>
  </si>
  <si>
    <t>Tresemme Keratin Smooth Shampoo and Hair Mask Combo</t>
  </si>
  <si>
    <t>L'Oreal Paris Shampoo Nourishes Repair &amp; Shine For Long And Lifeless Hair Dream Lengths</t>
  </si>
  <si>
    <t>29% OFF</t>
  </si>
  <si>
    <t>Medimix</t>
  </si>
  <si>
    <t>Head</t>
  </si>
  <si>
    <t>Parachute</t>
  </si>
  <si>
    <t>L'Oreal</t>
  </si>
  <si>
    <t>Mediker</t>
  </si>
  <si>
    <t xml:space="preserve">Clinic Plus </t>
  </si>
  <si>
    <t>Dabur</t>
  </si>
  <si>
    <t>Meera</t>
  </si>
  <si>
    <t>Himalaya</t>
  </si>
  <si>
    <t>Mamaearth</t>
  </si>
  <si>
    <t>Sunsilk</t>
  </si>
  <si>
    <t>Moxie</t>
  </si>
  <si>
    <t>TRESemme</t>
  </si>
  <si>
    <t>Head &amp; Shoulder</t>
  </si>
  <si>
    <t>Himalaya Herbal</t>
  </si>
  <si>
    <t>Mamaearth Onion</t>
  </si>
  <si>
    <t>Mamaearth Shamp</t>
  </si>
  <si>
    <t xml:space="preserve">Clinic plus </t>
  </si>
  <si>
    <t xml:space="preserve">Sunsilk </t>
  </si>
  <si>
    <t>GLEARA Vitaroots Hair Oil</t>
  </si>
  <si>
    <t>Bajaj Almond Drops Non-Sticky Hair Oil 95 ml</t>
  </si>
  <si>
    <t>95 ml</t>
  </si>
  <si>
    <t>Parachute Advansed Aloe Vera Hair Oil for Soft Hair</t>
  </si>
  <si>
    <t>Parachute 100% Pure Coconut Oil</t>
  </si>
  <si>
    <t>Brillare Science Argan Hair Oil</t>
  </si>
  <si>
    <t>Inde Wild Champi Hair Oil</t>
  </si>
  <si>
    <t>50 ml</t>
  </si>
  <si>
    <t>Pilgrim Spanish Rosemary Biotin Growth Hair Oil</t>
  </si>
  <si>
    <t>Nat Habit Hibiscus Amla Hair Oil for Hair Growth</t>
  </si>
  <si>
    <t>Bajaj Almond Drops Non-Sticky Hair Oil</t>
  </si>
  <si>
    <t>Parachute Advansed Gold Coconut Hair Oil</t>
  </si>
  <si>
    <t>280 ml</t>
  </si>
  <si>
    <t>Max Care Virgin Coconut Hair Oil</t>
  </si>
  <si>
    <t>Dabur 100% Natural Cold Pressed Castor Oil</t>
  </si>
  <si>
    <t>Bajaj Almond Drops Non-Sticky Hair Oil 185 ml</t>
  </si>
  <si>
    <t>Parachute Advansed After Shower Men's Hair Cream</t>
  </si>
  <si>
    <t>Indulekha Bhringraj Hair Oil 100 ml</t>
  </si>
  <si>
    <t>Coco Crush Cold Pressed Virgin Coconut Oil</t>
  </si>
  <si>
    <t>500 ml</t>
  </si>
  <si>
    <t>Dabur Vatika Rosemary Hair Oil</t>
  </si>
  <si>
    <t>Navratna Cool Ayurvedic Hair Oil</t>
  </si>
  <si>
    <t>90 ml</t>
  </si>
  <si>
    <t>600 ml</t>
  </si>
  <si>
    <t>Soulflower Rosemary Essential Oil for Hair Growth</t>
  </si>
  <si>
    <t>30 ml</t>
  </si>
  <si>
    <t>Brillare Science Rosemary Hair Oil</t>
  </si>
  <si>
    <t>Parachute Advansed Aloe Vera Enriched Coconut Hair Oil Gold 5X Aloe Vera</t>
  </si>
  <si>
    <t>225 ml</t>
  </si>
  <si>
    <t>Parachute Advansed Amla Rosemary Hair Oil</t>
  </si>
  <si>
    <t>Bajaj Aloe Vera Amla Hair Oil 3x Softer</t>
  </si>
  <si>
    <t>400 ml</t>
  </si>
  <si>
    <t>Soulflower Rosemary Lavender Hair Oil for Hair Growth</t>
  </si>
  <si>
    <t>120 ml</t>
  </si>
  <si>
    <t>Soulflower Tea Tree Essential Oil for Dandruff &amp; Acne</t>
  </si>
  <si>
    <t>15 ml</t>
  </si>
  <si>
    <t>Dabur Almond Hair Oil - Keratin &amp; 10x Vitamin E</t>
  </si>
  <si>
    <t>290 ml</t>
  </si>
  <si>
    <t>WishCare Cold Pressed 100% Pure Olive Oil</t>
  </si>
  <si>
    <t>Bajaj Castor Hair Oil</t>
  </si>
  <si>
    <t>Parachute Advansed Tea Tree Essential Oil</t>
  </si>
  <si>
    <t>14 ml</t>
  </si>
  <si>
    <t>Khadi Natural Bhringraj Hair Oil 210 ml</t>
  </si>
  <si>
    <t>210 ml</t>
  </si>
  <si>
    <t>Beardo Hair Serum with Argan Oil</t>
  </si>
  <si>
    <t>Coco Crush Cold Pressed Almond Oil (Badam Rogan)</t>
  </si>
  <si>
    <t>Dabur Amla Hair Oil - For Strong, Long and Thick Hair</t>
  </si>
  <si>
    <t>275 ml</t>
  </si>
  <si>
    <t>Bajaj 100% Pure Grade 1 Coconut Oil</t>
  </si>
  <si>
    <t>Mamaearth Nourishing Baby Hair Oil (0 - 10 Years)</t>
  </si>
  <si>
    <t>Parachute Advansed Ayurvedic Hot Oil, Warming Coconut Hair Oil 300 ml</t>
  </si>
  <si>
    <t>Parachute Advansed Rosemary - Enriched Coconut Hair Oil</t>
  </si>
  <si>
    <t>550 ml</t>
  </si>
  <si>
    <t>Parachute Advansed Rosemary Essential Oil</t>
  </si>
  <si>
    <t>Soulflower Organic Olive Oil, Extra Virgin for Hair and Skin</t>
  </si>
  <si>
    <t>Aswini Homeo Arnica Hair Oil</t>
  </si>
  <si>
    <t>Brillare Science Rosemary Hair Oil Shots</t>
  </si>
  <si>
    <t>8 x 6 ml</t>
  </si>
  <si>
    <t>Careberry Rosemary &amp; Jojoba Hair Oil</t>
  </si>
  <si>
    <t>Hamdard Raughan-E-Badam Shireen Almond Oil</t>
  </si>
  <si>
    <t>Himalaya Baby Hair Oil</t>
  </si>
  <si>
    <t>Johnson's Baby Hair Oil (with Avocado &amp; Pro Vitamin B5)</t>
  </si>
  <si>
    <t>Max Care Virgin Coconut Hair Oil - Cold Pressed</t>
  </si>
  <si>
    <t>Navratna Gold Cooling Ayurvedic Hair Oil</t>
  </si>
  <si>
    <t>Organix Mantra Indian Clove Essential Oil</t>
  </si>
  <si>
    <t>Parachute Advansed Coconut Enriched Shea &amp; Castor Hair Oil</t>
  </si>
  <si>
    <t>Patanjali Coconut Coconut Hair Oil</t>
  </si>
  <si>
    <t>TNW The Natural Wash Multipurpose Pure Neem Oil</t>
  </si>
  <si>
    <t>VVD Pure Coconut Oil</t>
  </si>
  <si>
    <t>WishCare Cold Pressed 100% Pure Castor Oil</t>
  </si>
  <si>
    <t>Organix Mantra Nilgiri Eucalyptus Essential Oil</t>
  </si>
  <si>
    <t>Soulflower Castor Oil, 100% Pure for Hair &amp; Skin</t>
  </si>
  <si>
    <t>Parachute Advansed Ayurvedic Coconut Hair Oil</t>
  </si>
  <si>
    <t>Vatika Enriched Coconut Hair Oil 300 ml</t>
  </si>
  <si>
    <t>Aroma Magic Castor Oil</t>
  </si>
  <si>
    <t>Coco Soul Cold Pressed Virgin Coconut Oil</t>
  </si>
  <si>
    <t>Indulekha Bhringraj Hair Oil 50 ml</t>
  </si>
  <si>
    <t>Dabur Amla Hair Oil</t>
  </si>
  <si>
    <t>Parachute Advansed Gold Biotin Coconut Hair Oil</t>
  </si>
  <si>
    <t>Soulflower Organic Anti-Dandruff Tea Tree Hair Oil for Scalp &amp; Hair</t>
  </si>
  <si>
    <t>L'Oréal Professionnel Paris Serie Expert Liss Unlimited Primrose Hair Serum</t>
  </si>
  <si>
    <t>125 ml</t>
  </si>
  <si>
    <t>Organix Mantra Bulgarian Lavender Essential Oil</t>
  </si>
  <si>
    <t>Parachute Advansed Gold Keratin Coconut Hair Oil</t>
  </si>
  <si>
    <t>Parachute Advansed Gold Vitamin E Coconut Hair Oil</t>
  </si>
  <si>
    <t>Parachute Advansed Bhringraj &amp; Hibiscus-Enriched Coconut Hair Oil</t>
  </si>
  <si>
    <t>Parachute Advansed Gold Jasmine Hair Oil</t>
  </si>
  <si>
    <t>Parachute Advansed Gold 5X Aloe Vera Hair Oil</t>
  </si>
  <si>
    <t>Soulflower Rosemary Mint Light Strengthening Hair Oil</t>
  </si>
  <si>
    <t>Rey Naturals Virgin &amp; Cold Pressed Jojoba Hair Oil</t>
  </si>
  <si>
    <t>Kesh King Gold Ayurvedic Ayurvedic Hair Oil for Hair Fall</t>
  </si>
  <si>
    <t>Emami 7 Oils in One Light &amp; Non Sticky Hair Oil</t>
  </si>
  <si>
    <t>VVD Gold Pure Coconut Oil</t>
  </si>
  <si>
    <t>KLF Nirmal Cold Pressed Virgin Coconut Oil (Thampina Thengina Enne)</t>
  </si>
  <si>
    <t>Dabur Almond Hair Oil - Keratin &amp; 10X Vitamin E</t>
  </si>
  <si>
    <t>485 ml</t>
  </si>
  <si>
    <t>Forest Essentials Ayurvedic Herb Enriched Head Massage Bhringraj Hair Oil</t>
  </si>
  <si>
    <t>Avimee Herbal Rosemary Hair Oil</t>
  </si>
  <si>
    <t>Dabur Anmol Gold Pure Coconut Hair Oil</t>
  </si>
  <si>
    <t>Mystiq Living Argan Moroccan Hair Oil</t>
  </si>
  <si>
    <t>Parachute Advansed Coconut Enriched Almond Hair Oil</t>
  </si>
  <si>
    <t>Soulflower Lavender Essential Oil</t>
  </si>
  <si>
    <t>Kesh King Gold Ayurvedic Hair Oil for Hairfall</t>
  </si>
  <si>
    <t>Dabur Anmol Gold 100% Pure Coconut Hair Oil</t>
  </si>
  <si>
    <t>Rey Naturals Tea Tree Essential Oil</t>
  </si>
  <si>
    <t>Patanjali Kesh Kanti Advance Ayurvedic Hair Oil</t>
  </si>
  <si>
    <t>VVD Coconut Hair Oil</t>
  </si>
  <si>
    <t>Organix Mantra Indian Rosemary Essential Oil</t>
  </si>
  <si>
    <t>The Curl Company Lightweight Curl Enhancing Hair Cream</t>
  </si>
  <si>
    <t>L'Oreal Paris Extraordinary Oil Hair Serum</t>
  </si>
  <si>
    <t>Tresemme Keratin Smooth Hair Mask with Argan Oil</t>
  </si>
  <si>
    <t>Love Beauty &amp; Planet Argan Oil &amp; Lavender Hair Mask</t>
  </si>
  <si>
    <t>Love Beauty &amp; Planet Hair Mask (Argan Oil &amp; Lavender)</t>
  </si>
  <si>
    <t>Vasmol 33 Kesh Kala Oil Based Hair Colour (Black)</t>
  </si>
  <si>
    <t>4 x 75 ml</t>
  </si>
  <si>
    <t>Pilgrim Argan Oil Hair Mask</t>
  </si>
  <si>
    <t>Vasmol Kesh Kala Oil Based Hair Colour</t>
  </si>
  <si>
    <t>Beardo Beard &amp; Hair Growth Oil for Men</t>
  </si>
  <si>
    <t>Dove Peptide Bond Strength Bi-Phasic Oil+ Hair Serum</t>
  </si>
  <si>
    <t>Love Beauty &amp; Planet Argan Oil &amp; Lavender Hair Serum</t>
  </si>
  <si>
    <t>Livon Hydrating K+H Hair Serum with Olive Oil</t>
  </si>
  <si>
    <t>45 ml</t>
  </si>
  <si>
    <t>Sebastian Professional Dark Oil Lightweight Hair Mask</t>
  </si>
  <si>
    <t>150 ml</t>
  </si>
  <si>
    <t>KLF Coconad Coconut Oil (Thengina Enne)</t>
  </si>
  <si>
    <t>KLF Nirmal 100% Pure Coconut Oil</t>
  </si>
  <si>
    <t>Conscious Food Cold Pressed Coconut Oil</t>
  </si>
  <si>
    <t>RAW ALCHEMY Castor Oil for Face &amp; Hair</t>
  </si>
  <si>
    <t>Raw Alchemy Cold‑Pressed Argan Oil for Face &amp; Hair</t>
  </si>
  <si>
    <t>Anveshan Cold Pressed Virgin Coconut Oil (Thengina Enne)</t>
  </si>
  <si>
    <t>RAW ALCHEMY Neem Hair &amp; Skin Oil</t>
  </si>
  <si>
    <t>Dabur Badam Rogan Tail / Almond Oil</t>
  </si>
  <si>
    <t>Soorrya Edible Grade Coconut Oil (Thengina Enne)</t>
  </si>
  <si>
    <t>Del Monte Multipurpose Cold Pressed Virgin Coconut Oil</t>
  </si>
  <si>
    <t>Indic Wisdom Wood Cold Pressed Sesame Oil /Til Oil</t>
  </si>
  <si>
    <t>Praakritik Organic Extra Virgin Coconut Oil</t>
  </si>
  <si>
    <t>Conscious Food Virgin Organic Coconut Oil</t>
  </si>
  <si>
    <t>Streax Pro Vitariche Gloss Hair Serum</t>
  </si>
  <si>
    <t>Be Bodywise 3% Redensyl Hair Growth Serum Roll On</t>
  </si>
  <si>
    <t>25 ml</t>
  </si>
  <si>
    <t>Streax Hair Serum - Vitalised with Walnut Oil</t>
  </si>
  <si>
    <t>Inde Wild Moonlight Scalp Hair Growth Serum</t>
  </si>
  <si>
    <t>Tresemme Keratin Smooth Anti-Frizz Hair Serum</t>
  </si>
  <si>
    <t>Plix Rosemary Advanced Hair Growth Serum</t>
  </si>
  <si>
    <t>10 ml</t>
  </si>
  <si>
    <t>Bontress PRO+ Scalp Hair Growth Serum</t>
  </si>
  <si>
    <t>60 ml</t>
  </si>
  <si>
    <t>Matrix 6 in 1 Biolage Smooth Proof Avocado Hair Serum</t>
  </si>
  <si>
    <t>Livon Anti-Frizz Hair Serum (For Rough &amp; Dry Hair)</t>
  </si>
  <si>
    <t>Streax Moisture Boost Spray Hair Serum</t>
  </si>
  <si>
    <t>Wishcare Hair Growth Serum Concentrate</t>
  </si>
  <si>
    <t>Avimee Herbal Scalptone Hair Growth Serum</t>
  </si>
  <si>
    <t>Indulekha Svetakutuja Dandruff Hair Serum</t>
  </si>
  <si>
    <t>Moxie Beauty Daily Calming Leave On Hair Serum</t>
  </si>
  <si>
    <t>Moxie Beauty Hyaluronic Acid Hair Serum</t>
  </si>
  <si>
    <t>Tresemme Hydra Matrix Hair Serum</t>
  </si>
  <si>
    <t>WishCare Hair Growth Serum (Concentrate)</t>
  </si>
  <si>
    <t>20 ml</t>
  </si>
  <si>
    <t>Tresemme Ultimate Gloss Professional Hair Serum</t>
  </si>
  <si>
    <t>L'Oreal Paris Gloss Extension Hair Serum</t>
  </si>
  <si>
    <t>40 ml</t>
  </si>
  <si>
    <t>L'Oreal Paris Hyaluron Moisture Hair Serum</t>
  </si>
  <si>
    <t>Livon Vitamin E Smoothening Hair Serum</t>
  </si>
  <si>
    <t>Moxie Beauty Flexi Styling Hair Serum Gel</t>
  </si>
  <si>
    <t>Streax Frizz Control Hair Serum with Bio-Elixir</t>
  </si>
  <si>
    <t>ThriveCo Anti-Greying Prime Hair Serum</t>
  </si>
  <si>
    <t>Bare Anatomy Ultra Smoothing Hair Serum</t>
  </si>
  <si>
    <t>Plix Rosemary Hair Growth Serum</t>
  </si>
  <si>
    <t>Livon Anti-Frizz Hair Serum</t>
  </si>
  <si>
    <t>Moxie Beauty Curl Cream &amp; Styling Gel Hair Care Combo</t>
  </si>
  <si>
    <t>Minimalist Frizz Control Complex SPF 30 Hair Serum</t>
  </si>
  <si>
    <t>Bare Anatomy Advanced Hair Growth Serum</t>
  </si>
  <si>
    <t>Bajaj Almond Drops Hair Serum</t>
  </si>
  <si>
    <t>Dove Peptide Bond Strength Leave-In Crème Hair Serum</t>
  </si>
  <si>
    <t>52 ml</t>
  </si>
  <si>
    <t>Bare Anatomy Argan &amp; Vitamin E Anti-Frizz Hair Serum</t>
  </si>
  <si>
    <t>75 ml</t>
  </si>
  <si>
    <t>Livon E Vitamin Smoothening Hair Serum</t>
  </si>
  <si>
    <t>Streax Hair Serum Vitalised with Walnut Oil</t>
  </si>
  <si>
    <t>ThriveCo Hair Growth Serum 2.0</t>
  </si>
  <si>
    <t>Parachute Advansed Ultra Nourish Hair Serum</t>
  </si>
  <si>
    <t>Parachute Advansed Super Smooth Hair Serum</t>
  </si>
  <si>
    <t>Minimalist 5% Maleic Bond Repair Complex Hair Serum</t>
  </si>
  <si>
    <t>WishCare Concentrate Hair Growth Serum</t>
  </si>
  <si>
    <t>Sunsilk Super Shine Hair Serum</t>
  </si>
  <si>
    <t>Streax Hair Serum Vitalized with Walnut Oil</t>
  </si>
  <si>
    <t>Tresemme Gloss Ultimate Hair Serum</t>
  </si>
  <si>
    <t>BBlunt Intense Moisture Hair Serum</t>
  </si>
  <si>
    <t>70 ml</t>
  </si>
  <si>
    <t>Pilgrim Redensyl Advanced Hair Growth Serum</t>
  </si>
  <si>
    <t>Pilgrim Redensyl &amp; Anagain Hair Growth Serum</t>
  </si>
  <si>
    <t>L'Oreal Paris Total Repair 5 Hair Serum</t>
  </si>
  <si>
    <t>115 ml</t>
  </si>
  <si>
    <t>L'Oreal Paris Glycolic Gloss Hair Serum</t>
  </si>
  <si>
    <t>Arata Damage Defence Super Hair Serum</t>
  </si>
  <si>
    <t>Man Matters Advanced Hair Serum</t>
  </si>
  <si>
    <t>Mystiq Living Rosemary Hair Serum</t>
  </si>
  <si>
    <t>Streax VitaGrowth Hair Serum</t>
  </si>
  <si>
    <t>Parachute Advansed Radiant Shine Hair Serum</t>
  </si>
  <si>
    <t>Parachute Advansed Pro Hair Hair Growth Serum</t>
  </si>
  <si>
    <t>Biotique Mountain Ebony Anti Hair Fall Hair Serum</t>
  </si>
  <si>
    <t>WishCare Triple Bond Repair Booster Hair Serum</t>
  </si>
  <si>
    <t>Mintop Pro Plus Hair Growth Serum</t>
  </si>
  <si>
    <t>Kazima Advanced Hair Growth Serum with 3% Redensyl</t>
  </si>
  <si>
    <t>Tresemme Silk Press Finisher Hair Serum</t>
  </si>
  <si>
    <t>38 ml</t>
  </si>
  <si>
    <t>Tresemme Keratin Smooth Shampoo +  Keratin Smooth Anti-Frizz Hair Serum Combo</t>
  </si>
  <si>
    <t>580 ml + 50 ml</t>
  </si>
  <si>
    <t>Deconstruct Anti Dandruff Scalp Hair Serum</t>
  </si>
  <si>
    <t>Arata Hair Growth Shampoo &amp; Serum Everyday Combo</t>
  </si>
  <si>
    <t>330 ml</t>
  </si>
  <si>
    <t>Quench Quinoa Protein Frizz Control Hair Serum</t>
  </si>
  <si>
    <t>Tresemme Keratin Smooth Shampoo +  Ultimate Gloss Professional Hair Serum Combo</t>
  </si>
  <si>
    <t>Pantene Hairfall Control 2 in 1 Shampoo &amp; Conditioner 650 ml</t>
  </si>
  <si>
    <t>Pantene Silky Smooth Care 2 in 1 Shampoo &amp; Conditioner</t>
  </si>
  <si>
    <t>Head &amp; Shoulders Smooth &amp; Silky 2-in-1 Shampoo &amp; Conditioner 650 ml</t>
  </si>
  <si>
    <t>Love Beauty &amp; Planet Dry Shampoo Mist</t>
  </si>
  <si>
    <t>Ketomac 2% Shampoo</t>
  </si>
  <si>
    <t>110 ml</t>
  </si>
  <si>
    <t>Pilgrim Anti Hairfall Shampoo with Biotin</t>
  </si>
  <si>
    <t>Keraglo AD Bottle Of 75ml Shampoo</t>
  </si>
  <si>
    <t>L'Oreal Paris Hyaluron Moisture Shampoo</t>
  </si>
  <si>
    <t>Scalpe Pro Daily Anti Dandruff Shampoo</t>
  </si>
  <si>
    <t>Scalpe Plus Expert Anti Dandruff Shampoo Bottle of 75ml</t>
  </si>
  <si>
    <t>L'Oreal Paris Hyaluron Pure 72H Purifying Shampoo</t>
  </si>
  <si>
    <t>Naturali Rosemary Anti Hairfall Shampoo</t>
  </si>
  <si>
    <t>Sebamed Everyday Shampoo (For Normal To Dry Hair)</t>
  </si>
  <si>
    <t>Plix Rosemary Anti Hair Fall Shampoo</t>
  </si>
  <si>
    <t>Head &amp; Shoulders Anti Dandruff Anti Hairfall Shampoo</t>
  </si>
  <si>
    <t>Earth Rhythm Shampoo Bar with Shikakai, Reetha &amp; Amla</t>
  </si>
  <si>
    <t>L'Oreal Paris Glycolic Gloss Shampoo</t>
  </si>
  <si>
    <t>Pilgrim Tea Tree Non-Drying Anti-Dandruff Shampoo</t>
  </si>
  <si>
    <t>Ketoscalp Shampoo</t>
  </si>
  <si>
    <t>Bare Anatomy Anti-Dandruff Shampoo</t>
  </si>
  <si>
    <t>L'Oréal Professionnel Absolut Repair Shampoo</t>
  </si>
  <si>
    <t>Love Beauty &amp; Planet Argan Oil and Lavender Shampoo</t>
  </si>
  <si>
    <t>Sunsilk Stunning Black Shine Shampoo</t>
  </si>
  <si>
    <t>WishCare Triple Bond Repair Shampoo</t>
  </si>
  <si>
    <t>Bare Anatomy Anti-Hairfall Shampoo</t>
  </si>
  <si>
    <t>Ketocip 2% Shampoo</t>
  </si>
  <si>
    <t>Meera Hairfall Care Shampoo</t>
  </si>
  <si>
    <t>Selsun Suspension Anti Dandruff Shampoo</t>
  </si>
  <si>
    <t>Schwarzkopf Professional Spa Essence Nourishing Shampoo</t>
  </si>
  <si>
    <t>Indulekha Bringha Anti-Hairfall Shampoo</t>
  </si>
  <si>
    <t>Johnson's No More Tears Baby Shampoo</t>
  </si>
  <si>
    <t>Biotique Fresh Neem Anti Dandruff Shampoo &amp; Conditioner</t>
  </si>
  <si>
    <t>L'Oréal Professionnel Scalp Advanced Anti-Dandruff Dermo-Clarifier Shampoo</t>
  </si>
  <si>
    <t>Aveeno Daily Moisturise Baby Wash &amp; Shampoo</t>
  </si>
  <si>
    <t>532 ml</t>
  </si>
  <si>
    <t>Bare Anatomy Color Protect Shampoo</t>
  </si>
  <si>
    <t>Fix My Curls Wash Day Hair Care Kit</t>
  </si>
  <si>
    <t>1 pack</t>
  </si>
  <si>
    <t>Moxie Beauty Gentle Cleansing Shampoo</t>
  </si>
  <si>
    <t>Plum Coconut Milk &amp; Peptides Strength &amp; Shine Shampoo</t>
  </si>
  <si>
    <t>8x Bottle of 120ml Shampoo</t>
  </si>
  <si>
    <t>L'Oreal Paris Hyaluron Moisture 72H Moisture Filling Shampoo</t>
  </si>
  <si>
    <t>Bare Anatomy Damage Repair Shampoo</t>
  </si>
  <si>
    <t>Dove Hair Fall Rescue Shampoo For Weak Hair</t>
  </si>
  <si>
    <t>Himalaya Gentle Baby Shampoo</t>
  </si>
  <si>
    <t>L'Oreal Paris Total Repair 5 Pro-Keratin + Ceramide Repairing Shampoo</t>
  </si>
  <si>
    <t>L'Oréal Professionnel Expert Density Advanced Shampoo</t>
  </si>
  <si>
    <t>Manetain Moisturising Shampoo</t>
  </si>
  <si>
    <t>Matrix Mega Smooth Shampoo + Conditioner Combo</t>
  </si>
  <si>
    <t>200 ml + 100 ml</t>
  </si>
  <si>
    <t>Salisia KT Shampoo</t>
  </si>
  <si>
    <t>Tresemme Hairfall Defense+ Shampoo</t>
  </si>
  <si>
    <t>Tugain Essentials Anti-Dandruff Shampoo</t>
  </si>
  <si>
    <t>Hair Pure Revive &amp; Go Dry Shampoo</t>
  </si>
  <si>
    <t>L'Oréal Professionnel Paris Vitamino Color Shampoo</t>
  </si>
  <si>
    <t>Tresemme Hydra Matrix Shampoo</t>
  </si>
  <si>
    <t>Wow Skin Science Red Onion Black Seed Oil Shampoo</t>
  </si>
  <si>
    <t>Minimalist 3.5% Anti-Dandruff Shampoo</t>
  </si>
  <si>
    <t>WishCare Air Powder Dry Shampoo</t>
  </si>
  <si>
    <t>10 g</t>
  </si>
  <si>
    <t>WishCare Multi Peptide Anti Hairfall Shampoo</t>
  </si>
  <si>
    <t>Brillare Science Anti Dandruff Shampoo</t>
  </si>
  <si>
    <t>Dabur Vatika Naturals Health Shampoo with Henna &amp; Amla</t>
  </si>
  <si>
    <t>Fix My Curls Goodbye Grease Dry Shampoo</t>
  </si>
  <si>
    <t>Indulekha Bringha Shampoo for Hair Fall Control</t>
  </si>
  <si>
    <t>Kesh King Gold Anti-Hairfall Shampoo - Ayurvedic</t>
  </si>
  <si>
    <t>Khadi Natural Amla &amp; Reetha Hair Cleanser / Shampoo</t>
  </si>
  <si>
    <t>L'Oreal Paris Hyaluron 72H Moisture Filling Shampoo</t>
  </si>
  <si>
    <t>L'Oréal Professionnel XTenso Care Shampoo - Pro-Keratin + Incell</t>
  </si>
  <si>
    <t>L'Oréal Professionnel Xtenso Care Shampoo (Sulfate Free)</t>
  </si>
  <si>
    <t>Mamaearth Rosemary Anti-Hair Fall Shampoo</t>
  </si>
  <si>
    <t>Meera Smooth &amp; Shine Shampoo</t>
  </si>
  <si>
    <t>Park Avenue Anti-Dandruff Beer Shampoo</t>
  </si>
  <si>
    <t>Sebamed Anti-Dandruff Shampoo</t>
  </si>
  <si>
    <t>Sebamed Baby Shampoo</t>
  </si>
  <si>
    <t>Selsun Daily Anti - Dandruff Shampoo</t>
  </si>
  <si>
    <t>Tedibar Spoo Gentle Baby Shampoo</t>
  </si>
  <si>
    <t>8X KT Shampoo</t>
  </si>
  <si>
    <t>Clinic Plus Strength &amp; Shine Shampoo with Egg Protein</t>
  </si>
  <si>
    <t>Coco Crush Lice Removal Shampoo with Treatment Comb</t>
  </si>
  <si>
    <t>Curl Up Curl Moisturising Shampoo</t>
  </si>
  <si>
    <t>Curl Up Curly Hair Shampoo &amp; Conditioner with Defining Cream</t>
  </si>
  <si>
    <t>3 pcs</t>
  </si>
  <si>
    <t>Dabur Vatika Anti Dandruff - Power of 7 Natural Ingredients Shampoo</t>
  </si>
  <si>
    <t>Danfree 2% Shampoo 100ml</t>
  </si>
  <si>
    <t>Dove Daily Shine Shampoo For Dull Hair</t>
  </si>
  <si>
    <t>Dove Hair Fall Rescue Shampoo For weak hair</t>
  </si>
  <si>
    <t>HIVADO Thick &amp; Full Shampoo for Men</t>
  </si>
  <si>
    <t>Head &amp; Shoulders 7-in-1 Anti-Dandruff Shampoo</t>
  </si>
  <si>
    <t>Head &amp; Shoulders Anti Dandruff Shampoo</t>
  </si>
  <si>
    <t>Head &amp; Shoulders Cool Menthol 2-in-1 Shampoo &amp; Conditioner 180 ml</t>
  </si>
  <si>
    <t>Head &amp; Shoulders Cool Menthol Anti Dandruff Shampoo</t>
  </si>
  <si>
    <t>Head &amp; Shoulders Neem Anti Dandruff Shampoo</t>
  </si>
  <si>
    <t>Head &amp; Shoulders Silky Black Anti Dandruff Shampoo</t>
  </si>
  <si>
    <t>Himalaya Anti-Hairfall Bhringaraja Shampoo</t>
  </si>
  <si>
    <t>Jungle Formula Anti Lice Treatment</t>
  </si>
  <si>
    <t>L'Oreal Paris Extraordinary Oil Nourishing Shampoo For Dry &amp; Dull Hair</t>
  </si>
  <si>
    <t>L'Oreal Professionnel XTenso Care Shampoo - Pro-Keratin + Incell +  XTenso Care Hair Mask - Pro-Keratin + Incell Combo</t>
  </si>
  <si>
    <t>250 ml + 196 g</t>
  </si>
  <si>
    <t>L'Oréal Professionnel Liss Unlimited Prokeratin Shampoo (Serie Expert)</t>
  </si>
  <si>
    <t>Little Rituals Plant Protein Baby Shampoo</t>
  </si>
  <si>
    <t>LuvLap Baby Shampoo</t>
  </si>
  <si>
    <t>Mamaearth Hair Growth &amp; Fall Control Shampoo</t>
  </si>
  <si>
    <t>₹289</t>
  </si>
  <si>
    <t>₹330</t>
  </si>
  <si>
    <t>₹85</t>
  </si>
  <si>
    <t>₹136</t>
  </si>
  <si>
    <t>₹151</t>
  </si>
  <si>
    <t>₹185</t>
  </si>
  <si>
    <t>₹222</t>
  </si>
  <si>
    <t>₹345</t>
  </si>
  <si>
    <t>₹718</t>
  </si>
  <si>
    <t>₹844</t>
  </si>
  <si>
    <t>₹283</t>
  </si>
  <si>
    <t>₹326</t>
  </si>
  <si>
    <t>₹350</t>
  </si>
  <si>
    <t>₹216</t>
  </si>
  <si>
    <t>₹335</t>
  </si>
  <si>
    <t>₹154</t>
  </si>
  <si>
    <t>₹206</t>
  </si>
  <si>
    <t>₹299</t>
  </si>
  <si>
    <t>₹325</t>
  </si>
  <si>
    <t>₹225</t>
  </si>
  <si>
    <t>₹165</t>
  </si>
  <si>
    <t>₹82</t>
  </si>
  <si>
    <t>₹100</t>
  </si>
  <si>
    <t>₹294</t>
  </si>
  <si>
    <t>₹477</t>
  </si>
  <si>
    <t>₹435</t>
  </si>
  <si>
    <t>₹445</t>
  </si>
  <si>
    <t>₹109</t>
  </si>
  <si>
    <t>₹247</t>
  </si>
  <si>
    <t>₹89</t>
  </si>
  <si>
    <t>₹429</t>
  </si>
  <si>
    <t>₹509</t>
  </si>
  <si>
    <t>₹850</t>
  </si>
  <si>
    <t>₹374</t>
  </si>
  <si>
    <t>₹440</t>
  </si>
  <si>
    <t>₹168</t>
  </si>
  <si>
    <t>₹210</t>
  </si>
  <si>
    <t>₹127</t>
  </si>
  <si>
    <t>₹199</t>
  </si>
  <si>
    <t>₹120</t>
  </si>
  <si>
    <t>₹145</t>
  </si>
  <si>
    <t>₹224</t>
  </si>
  <si>
    <t>₹400</t>
  </si>
  <si>
    <t>₹233</t>
  </si>
  <si>
    <t>₹245</t>
  </si>
  <si>
    <t>₹405</t>
  </si>
  <si>
    <t>₹450</t>
  </si>
  <si>
    <t>₹98</t>
  </si>
  <si>
    <t>₹203</t>
  </si>
  <si>
    <t>₹279</t>
  </si>
  <si>
    <t>₹164</t>
  </si>
  <si>
    <t>₹270</t>
  </si>
  <si>
    <t>₹276</t>
  </si>
  <si>
    <t>₹399</t>
  </si>
  <si>
    <t>₹202</t>
  </si>
  <si>
    <t>₹310</t>
  </si>
  <si>
    <t>₹295</t>
  </si>
  <si>
    <t>₹110</t>
  </si>
  <si>
    <t>₹137</t>
  </si>
  <si>
    <t>₹560</t>
  </si>
  <si>
    <t>₹320</t>
  </si>
  <si>
    <t>₹355</t>
  </si>
  <si>
    <t>₹149</t>
  </si>
  <si>
    <t>₹200</t>
  </si>
  <si>
    <t>₹201</t>
  </si>
  <si>
    <t>₹378</t>
  </si>
  <si>
    <t>₹162</t>
  </si>
  <si>
    <t>₹340</t>
  </si>
  <si>
    <t>₹315</t>
  </si>
  <si>
    <t>₹351</t>
  </si>
  <si>
    <t>₹719</t>
  </si>
  <si>
    <t>₹795</t>
  </si>
  <si>
    <t>₹599</t>
  </si>
  <si>
    <t>₹699</t>
  </si>
  <si>
    <t>₹254</t>
  </si>
  <si>
    <t>₹133</t>
  </si>
  <si>
    <t>₹226</t>
  </si>
  <si>
    <t>₹300</t>
  </si>
  <si>
    <t>₹506</t>
  </si>
  <si>
    <t>₹550</t>
  </si>
  <si>
    <t>₹159</t>
  </si>
  <si>
    <t>₹175</t>
  </si>
  <si>
    <t>₹228</t>
  </si>
  <si>
    <t>₹553</t>
  </si>
  <si>
    <t>₹713</t>
  </si>
  <si>
    <t>₹135</t>
  </si>
  <si>
    <t>₹259</t>
  </si>
  <si>
    <t>₹160</t>
  </si>
  <si>
    <t>₹250</t>
  </si>
  <si>
    <t>₹248</t>
  </si>
  <si>
    <t>₹262</t>
  </si>
  <si>
    <t>₹275</t>
  </si>
  <si>
    <t>₹217</t>
  </si>
  <si>
    <t>₹264</t>
  </si>
  <si>
    <t>₹186</t>
  </si>
  <si>
    <t>₹235</t>
  </si>
  <si>
    <t>₹118</t>
  </si>
  <si>
    <t>₹138</t>
  </si>
  <si>
    <t>₹234</t>
  </si>
  <si>
    <t>₹83</t>
  </si>
  <si>
    <t>₹92</t>
  </si>
  <si>
    <t>₹184</t>
  </si>
  <si>
    <t>₹356</t>
  </si>
  <si>
    <t>₹890</t>
  </si>
  <si>
    <t>₹190</t>
  </si>
  <si>
    <t>₹183</t>
  </si>
  <si>
    <t>₹198</t>
  </si>
  <si>
    <t>₹177</t>
  </si>
  <si>
    <t>₹449</t>
  </si>
  <si>
    <t>₹375</t>
  </si>
  <si>
    <t>₹150</t>
  </si>
  <si>
    <t>₹530</t>
  </si>
  <si>
    <t>₹309</t>
  </si>
  <si>
    <t>₹465</t>
  </si>
  <si>
    <t>₹255</t>
  </si>
  <si>
    <t>₹425</t>
  </si>
  <si>
    <t>₹423</t>
  </si>
  <si>
    <t>₹499</t>
  </si>
  <si>
    <t>₹267</t>
  </si>
  <si>
    <t>₹314</t>
  </si>
  <si>
    <t>₹369</t>
  </si>
  <si>
    <t>₹665</t>
  </si>
  <si>
    <t>₹215</t>
  </si>
  <si>
    <t>₹750</t>
  </si>
  <si>
    <t>₹240</t>
  </si>
  <si>
    <t>₹180</t>
  </si>
  <si>
    <t>₹620</t>
  </si>
  <si>
    <t>₹729</t>
  </si>
  <si>
    <t>₹510</t>
  </si>
  <si>
    <t>₹600</t>
  </si>
  <si>
    <t>₹187</t>
  </si>
  <si>
    <t>₹196</t>
  </si>
  <si>
    <t>₹494</t>
  </si>
  <si>
    <t>₹650</t>
  </si>
  <si>
    <t>₹64</t>
  </si>
  <si>
    <t>₹65</t>
  </si>
  <si>
    <t>₹352</t>
  </si>
  <si>
    <t>₹293</t>
  </si>
  <si>
    <t>₹383</t>
  </si>
  <si>
    <t>₹1,505</t>
  </si>
  <si>
    <t>₹2,150</t>
  </si>
  <si>
    <t>₹272</t>
  </si>
  <si>
    <t>₹241</t>
  </si>
  <si>
    <t>₹479</t>
  </si>
  <si>
    <t>₹590</t>
  </si>
  <si>
    <t>₹205</t>
  </si>
  <si>
    <t>₹344</t>
  </si>
  <si>
    <t>₹230</t>
  </si>
  <si>
    <t>₹319</t>
  </si>
  <si>
    <t>₹239</t>
  </si>
  <si>
    <t>₹370</t>
  </si>
  <si>
    <t>₹605</t>
  </si>
  <si>
    <t>₹690</t>
  </si>
  <si>
    <t>₹473</t>
  </si>
  <si>
    <t>₹679</t>
  </si>
  <si>
    <t>₹1,020</t>
  </si>
  <si>
    <t>₹1,199</t>
  </si>
  <si>
    <t>₹219</t>
  </si>
  <si>
    <t>₹189</t>
  </si>
  <si>
    <t>₹680</t>
  </si>
  <si>
    <t>₹849</t>
  </si>
  <si>
    <t>₹1,350</t>
  </si>
  <si>
    <t>₹1,500</t>
  </si>
  <si>
    <t>₹333</t>
  </si>
  <si>
    <t>₹148</t>
  </si>
  <si>
    <t>₹885</t>
  </si>
  <si>
    <t>₹625</t>
  </si>
  <si>
    <t>₹243</t>
  </si>
  <si>
    <t>₹469</t>
  </si>
  <si>
    <t>₹495</t>
  </si>
  <si>
    <t>₹645</t>
  </si>
  <si>
    <t>₹529</t>
  </si>
  <si>
    <t>₹549</t>
  </si>
  <si>
    <t>₹274</t>
  </si>
  <si>
    <t>₹249</t>
  </si>
  <si>
    <t>₹357</t>
  </si>
  <si>
    <t>₹419</t>
  </si>
  <si>
    <t>₹291</t>
  </si>
  <si>
    <t>₹256</t>
  </si>
  <si>
    <t>₹700</t>
  </si>
  <si>
    <t>₹999</t>
  </si>
  <si>
    <t>₹380</t>
  </si>
  <si>
    <t>₹446</t>
  </si>
  <si>
    <t>₹409</t>
  </si>
  <si>
    <t>₹475</t>
  </si>
  <si>
    <t>₹609</t>
  </si>
  <si>
    <t>₹153</t>
  </si>
  <si>
    <t>₹559</t>
  </si>
  <si>
    <t>₹697</t>
  </si>
  <si>
    <t>₹99</t>
  </si>
  <si>
    <t>₹271</t>
  </si>
  <si>
    <t>₹500</t>
  </si>
  <si>
    <t>₹649</t>
  </si>
  <si>
    <t>₹1,999</t>
  </si>
  <si>
    <t>₹2,349</t>
  </si>
  <si>
    <t>₹390</t>
  </si>
  <si>
    <t>₹459</t>
  </si>
  <si>
    <t>₹540</t>
  </si>
  <si>
    <t>₹179</t>
  </si>
  <si>
    <t>₹360</t>
  </si>
  <si>
    <t>₹613</t>
  </si>
  <si>
    <t>₹816</t>
  </si>
  <si>
    <t>₹995</t>
  </si>
  <si>
    <t>₹323</t>
  </si>
  <si>
    <t>₹297</t>
  </si>
  <si>
    <t>₹349</t>
  </si>
  <si>
    <t>₹799</t>
  </si>
  <si>
    <t>₹441</t>
  </si>
  <si>
    <t>₹525</t>
  </si>
  <si>
    <t>₹1,238</t>
  </si>
  <si>
    <t>₹1,375</t>
  </si>
  <si>
    <t>₹545</t>
  </si>
  <si>
    <t>₹640</t>
  </si>
  <si>
    <t>₹629</t>
  </si>
  <si>
    <t>₹1,084</t>
  </si>
  <si>
    <t>₹462</t>
  </si>
  <si>
    <t>₹1,161</t>
  </si>
  <si>
    <t>₹1,548</t>
  </si>
  <si>
    <t>₹574</t>
  </si>
  <si>
    <t>₹661</t>
  </si>
  <si>
    <t>₹1,139</t>
  </si>
  <si>
    <t>₹571</t>
  </si>
  <si>
    <t>₹507</t>
  </si>
  <si>
    <t>₹1,149</t>
  </si>
  <si>
    <t>₹631</t>
  </si>
  <si>
    <t>₹1,155</t>
  </si>
  <si>
    <t>₹155</t>
  </si>
  <si>
    <t>₹281</t>
  </si>
  <si>
    <t>₹305</t>
  </si>
  <si>
    <t>₹371</t>
  </si>
  <si>
    <t>₹172</t>
  </si>
  <si>
    <t>₹324</t>
  </si>
  <si>
    <t>₹519</t>
  </si>
  <si>
    <t>₹555</t>
  </si>
  <si>
    <t>₹301</t>
  </si>
  <si>
    <t>₹460</t>
  </si>
  <si>
    <t>₹484</t>
  </si>
  <si>
    <t>₹284</t>
  </si>
  <si>
    <t>₹322</t>
  </si>
  <si>
    <t>₹338</t>
  </si>
  <si>
    <t>₹158</t>
  </si>
  <si>
    <t>₹952</t>
  </si>
  <si>
    <t>₹392</t>
  </si>
  <si>
    <t>₹878</t>
  </si>
  <si>
    <t>₹975</t>
  </si>
  <si>
    <t>₹171</t>
  </si>
  <si>
    <t>₹277</t>
  </si>
  <si>
    <t>₹415</t>
  </si>
  <si>
    <t>₹880</t>
  </si>
  <si>
    <t>₹1,197</t>
  </si>
  <si>
    <t>₹1,379</t>
  </si>
  <si>
    <t>₹498</t>
  </si>
  <si>
    <t>₹535</t>
  </si>
  <si>
    <t>₹636</t>
  </si>
  <si>
    <t>₹505</t>
  </si>
  <si>
    <t>₹501</t>
  </si>
  <si>
    <t>₹970</t>
  </si>
  <si>
    <t>₹213</t>
  </si>
  <si>
    <t>₹181</t>
  </si>
  <si>
    <t>₹653</t>
  </si>
  <si>
    <t>₹725</t>
  </si>
  <si>
    <t>₹296</t>
  </si>
  <si>
    <t>₹342</t>
  </si>
  <si>
    <t>₹444</t>
  </si>
  <si>
    <t>₹845</t>
  </si>
  <si>
    <t>₹302</t>
  </si>
  <si>
    <t>₹368</t>
  </si>
  <si>
    <t>₹418</t>
  </si>
  <si>
    <t>₹569</t>
  </si>
  <si>
    <t>₹575</t>
  </si>
  <si>
    <t>₹815</t>
  </si>
  <si>
    <t>₹287</t>
  </si>
  <si>
    <t>₹544</t>
  </si>
  <si>
    <t>₹578</t>
  </si>
  <si>
    <t>₹502</t>
  </si>
  <si>
    <t>₹972</t>
  </si>
  <si>
    <t>₹229</t>
  </si>
  <si>
    <t>₹280</t>
  </si>
  <si>
    <t>₹220</t>
  </si>
  <si>
    <t>₹580</t>
  </si>
  <si>
    <t>₹1,055</t>
  </si>
  <si>
    <t>₹610</t>
  </si>
  <si>
    <t>₹1,045</t>
  </si>
  <si>
    <t>₹212</t>
  </si>
  <si>
    <t>₹221</t>
  </si>
  <si>
    <t>₹397</t>
  </si>
  <si>
    <t>₹265</t>
  </si>
  <si>
    <t>₹157</t>
  </si>
  <si>
    <t>₹471</t>
  </si>
  <si>
    <t>₹411</t>
  </si>
  <si>
    <t>₹447</t>
  </si>
  <si>
    <t>₹269</t>
  </si>
  <si>
    <t>₹304</t>
  </si>
  <si>
    <t>₹490</t>
  </si>
  <si>
    <t>₹1,484</t>
  </si>
  <si>
    <t>₹1,855</t>
  </si>
  <si>
    <t>₹231</t>
  </si>
  <si>
    <t>₹539</t>
  </si>
  <si>
    <t>₹214</t>
  </si>
  <si>
    <t>₹395</t>
  </si>
  <si>
    <t>₹619</t>
  </si>
  <si>
    <t>₹1,120</t>
  </si>
  <si>
    <t>₹353</t>
  </si>
  <si>
    <t>₹1,314</t>
  </si>
  <si>
    <t>₹1,460</t>
  </si>
  <si>
    <t xml:space="preserve">Blinkit </t>
  </si>
  <si>
    <t>12%
OFF</t>
  </si>
  <si>
    <t>9%
OFF</t>
  </si>
  <si>
    <t>16%
OFF</t>
  </si>
  <si>
    <t>14%
OFF</t>
  </si>
  <si>
    <t>17%
OFF</t>
  </si>
  <si>
    <t>6%
OFF</t>
  </si>
  <si>
    <t>35%
OFF</t>
  </si>
  <si>
    <t>25%
OFF</t>
  </si>
  <si>
    <t>8%
OFF</t>
  </si>
  <si>
    <t>24%
OFF</t>
  </si>
  <si>
    <t>18%
OFF</t>
  </si>
  <si>
    <t>38%
OFF</t>
  </si>
  <si>
    <t>55%
OFF</t>
  </si>
  <si>
    <t>23%
OFF</t>
  </si>
  <si>
    <t>40%
OFF</t>
  </si>
  <si>
    <t>15%
OFF</t>
  </si>
  <si>
    <t>20%
OFF</t>
  </si>
  <si>
    <t>36%
OFF</t>
  </si>
  <si>
    <t>44%
OFF</t>
  </si>
  <si>
    <t>10%
OFF</t>
  </si>
  <si>
    <t>51%
OFF</t>
  </si>
  <si>
    <t>39%
OFF</t>
  </si>
  <si>
    <t>30%
OFF</t>
  </si>
  <si>
    <t>34%
OFF</t>
  </si>
  <si>
    <t>19%
OFF</t>
  </si>
  <si>
    <t>41%
OFF</t>
  </si>
  <si>
    <t>46%
OFF</t>
  </si>
  <si>
    <t>52%
OFF</t>
  </si>
  <si>
    <t>11%
OFF</t>
  </si>
  <si>
    <t>42%
OFF</t>
  </si>
  <si>
    <t>22%
OFF</t>
  </si>
  <si>
    <t>37%
OFF</t>
  </si>
  <si>
    <t>48%
OFF</t>
  </si>
  <si>
    <t>31%
OFF</t>
  </si>
  <si>
    <t>50%
OFF</t>
  </si>
  <si>
    <t>57%
OFF</t>
  </si>
  <si>
    <t>29%
OFF</t>
  </si>
  <si>
    <t>33%
OFF</t>
  </si>
  <si>
    <t>21%
OFF</t>
  </si>
  <si>
    <t>5%
OFF</t>
  </si>
  <si>
    <t>7%
OFF</t>
  </si>
  <si>
    <t>13%
OFF</t>
  </si>
  <si>
    <t>45%
OFF</t>
  </si>
  <si>
    <t>49%
OFF</t>
  </si>
  <si>
    <t>26%
OFF</t>
  </si>
  <si>
    <t>27%
OFF</t>
  </si>
  <si>
    <t>32%
OFF</t>
  </si>
  <si>
    <t>NUL</t>
  </si>
  <si>
    <t>offer</t>
  </si>
  <si>
    <t xml:space="preserve">In Stock </t>
  </si>
  <si>
    <t>21 mins</t>
  </si>
  <si>
    <t>18 mins</t>
  </si>
  <si>
    <t>16 mins</t>
  </si>
  <si>
    <t>19 mins</t>
  </si>
  <si>
    <t>Pantene Hairscience Hairfall Control Shampoo, Lesser Hair Fall With Vitamin B</t>
  </si>
  <si>
    <t>L'Oreal Paris Hyaluron Moisture Shampoo with Hyaluronic Acid for Dry &amp; Dehydrated Hair</t>
  </si>
  <si>
    <t>EleGanz Professional</t>
  </si>
  <si>
    <t>EleGanz Professional Biotin+ Multipeptide Anti Hairfall Shampoo with Hydrolyzed Keratin</t>
  </si>
  <si>
    <t>L'Oreal Paris Glycolic Gloss Shampoo | Glycolic Acid for dull hair</t>
  </si>
  <si>
    <t>L'Oreal Paris Total Repair 5 Repairing Shampoo With Keratin XS For Damaged Hair</t>
  </si>
  <si>
    <t>Selsun</t>
  </si>
  <si>
    <t>Selsun Blue Regular Care Anti Dandruff Shampoo | Relieves From Dandruff Related Itching</t>
  </si>
  <si>
    <t>Love Beauty &amp; Planet</t>
  </si>
  <si>
    <t>Love Beauty and Planet Onion, Blackseed Oil &amp; Patchouli Hairfall Control Sulfate Free Shampoo</t>
  </si>
  <si>
    <t>Bajaj Consumer Care</t>
  </si>
  <si>
    <t>Bajaj Almond Drops Anti Hairfall Shampoo with Almond Oil &amp; Vitamin E for Men and Women</t>
  </si>
  <si>
    <t>Plix The Plant Fix</t>
  </si>
  <si>
    <t>PLIX Rosemary Advanced Anti-Hair Fall Shampoo Sulfate And Paraben Free To Reduce Hair Fall</t>
  </si>
  <si>
    <t>Naturali</t>
  </si>
  <si>
    <t>Naturali Scalp Clarifying Shampoo| Shampoo for Men</t>
  </si>
  <si>
    <t>Naturali Anti-Frizz Shampoo | 100 Hours Frizz-control|For Dry, Frizzy Hair</t>
  </si>
  <si>
    <t>Naturali Dandruff Defence Shampoo With Tea Tree oil| Non drying For Men &amp; Women|Sulphate free</t>
  </si>
  <si>
    <t>Kesh King</t>
  </si>
  <si>
    <t>Kesh King Onion Shampoo With Curry Leaves Reduces Hair Fall</t>
  </si>
  <si>
    <t>Clinic Plus Strong &amp; Thick Shampoo</t>
  </si>
  <si>
    <t>Tugain</t>
  </si>
  <si>
    <t>Tugain Essentials Hair Fall Control Shampoo</t>
  </si>
  <si>
    <t>Wella Professionals</t>
  </si>
  <si>
    <t>Wella Professionals Fusion Intense Repair Shampoo</t>
  </si>
  <si>
    <t>Indulekha</t>
  </si>
  <si>
    <t>Indulekha Bringha Shampoo|| Proprietary Ayurvedic Medicine For Hair Fall</t>
  </si>
  <si>
    <t>EleGanz Professional 5x Hydra-Volume Intense Moisturising Shampoo with Argan Oil</t>
  </si>
  <si>
    <t>Plix The Plant Fix Hibiscus Bond Repair Advanced Shampoo For Damaged | Frizzy Hair</t>
  </si>
  <si>
    <t>Thriveco</t>
  </si>
  <si>
    <t>ThriveCo Hyapro 5-In-1 Hyaluronic Shampoo | Repairs, Hydrates, Adds Shine &amp; Bounce</t>
  </si>
  <si>
    <t>Naturali Anti-Hairfall Shampoo with Rosemary Hairfall Control Shampoo|Sulphate free shampoo</t>
  </si>
  <si>
    <t>PATANJALI</t>
  </si>
  <si>
    <t>Patanjali Kesh Kanti Natural Hair Cleanser Shampoo Prevents Dryness</t>
  </si>
  <si>
    <t>WishCare</t>
  </si>
  <si>
    <t>WishCare Multi Peptide Anti HairFall Shampoo | Reduces Hairfall | Rosemary, Rice Water &amp; Caffeine</t>
  </si>
  <si>
    <t>L'Oreal Paris Glycolic Gloss conditioner | Glycolic Acid for dull hair</t>
  </si>
  <si>
    <t>Naturali Anti-Frizz Conditioner| Conditioner for dry hair|100 hours Frizz-control</t>
  </si>
  <si>
    <t>1 pc (180 ml)</t>
  </si>
  <si>
    <t>1 pc (340 ml)</t>
  </si>
  <si>
    <t>1 pc (200 ml)</t>
  </si>
  <si>
    <t>1 pc (650 ml)</t>
  </si>
  <si>
    <t>1 pack (340 ml)</t>
  </si>
  <si>
    <t>1 pc (300 ml)</t>
  </si>
  <si>
    <t>1 pc (250 ml)</t>
  </si>
  <si>
    <t>1 pc (100 ml)</t>
  </si>
  <si>
    <t>1 pc (236 ml)</t>
  </si>
  <si>
    <t>1 pc (175 ml)</t>
  </si>
  <si>
    <t>1 pack (180 ml)</t>
  </si>
  <si>
    <t>₹1155</t>
  </si>
  <si>
    <t>₹623.77</t>
  </si>
  <si>
    <t>₹329</t>
  </si>
  <si>
    <t>₹468</t>
  </si>
  <si>
    <t>₹355.93</t>
  </si>
  <si>
    <t>₹1065</t>
  </si>
  <si>
    <t>₹359</t>
  </si>
  <si>
    <t>12% Off</t>
  </si>
  <si>
    <t>29% Off</t>
  </si>
  <si>
    <t>33% Off</t>
  </si>
  <si>
    <t>18% Off</t>
  </si>
  <si>
    <t>27% Off</t>
  </si>
  <si>
    <t>49% Off</t>
  </si>
  <si>
    <t>20% Off</t>
  </si>
  <si>
    <t>45% Off</t>
  </si>
  <si>
    <t>5% Off</t>
  </si>
  <si>
    <t>28% Off</t>
  </si>
  <si>
    <t>25% Off</t>
  </si>
  <si>
    <t>47% Off</t>
  </si>
  <si>
    <t>14% Off</t>
  </si>
  <si>
    <t>19% Off</t>
  </si>
  <si>
    <t>39% Off</t>
  </si>
  <si>
    <t>8% Off</t>
  </si>
  <si>
    <t>15% Off</t>
  </si>
  <si>
    <t>46% Off</t>
  </si>
  <si>
    <t>21% Off</t>
  </si>
  <si>
    <t>37% Off</t>
  </si>
  <si>
    <t>Chik</t>
  </si>
  <si>
    <t>Chik Protein Therapy Shampoo| For Strong &amp; Black Hair | With The Goodness Of Black Tea, and Flax Seeds</t>
  </si>
  <si>
    <t>Head &amp; Shoulders Smooth and Silky Anti Dandruff Shampoo</t>
  </si>
  <si>
    <t>Naturali Daily Strength &amp; Nourish Shampoo|2X Strength &amp; Nourishment|Shampoo for frizzy hair</t>
  </si>
  <si>
    <t>Naturali Hairfall Arrest Conditioner|Hairfall Control for All Hair Type</t>
  </si>
  <si>
    <t>MULTANI</t>
  </si>
  <si>
    <t>Multani Naturals Greentea &amp; Aloevera Hair Conditioner | For Hair Fall &amp; Scalp Dryness|No SLS</t>
  </si>
  <si>
    <t>1 pc (250 ml or 270 ml)</t>
  </si>
  <si>
    <t>₹666</t>
  </si>
  <si>
    <t>55% Off</t>
  </si>
  <si>
    <t>44% Off</t>
  </si>
  <si>
    <t>30% Off</t>
  </si>
  <si>
    <t>22% Off</t>
  </si>
  <si>
    <t>Dove Shine Revive Treatment Hair Mask</t>
  </si>
  <si>
    <t>Dove Scalp+Hair Therapy Sulphate Free Density Boost Restoring Conditioner Niacinamide&amp;Zincpeptides</t>
  </si>
  <si>
    <t>Dove Scalp+Hair Density Boost Serum: 2.5% Niacinamide &amp; 1.5% Zinc Peptides For Revitalizing Scalp</t>
  </si>
  <si>
    <t>Dove Daily Shine Conditioner</t>
  </si>
  <si>
    <t>Dove Scalp+Hair Sulphatefree Density Boost Shampoo With Niacinamide &amp; Zinc Peptides For Strength</t>
  </si>
  <si>
    <t>Wella Professionals Elements Renewing Hair Mask</t>
  </si>
  <si>
    <t>Dove Beautiful Curls Defining Gel 100 Sulphate Free Alcohol Free No Parabens &amp; Dyes Nongreasy</t>
  </si>
  <si>
    <t>Moxie Beauty</t>
  </si>
  <si>
    <t>Moxie Beauty Deep Dive Hair Mask</t>
  </si>
  <si>
    <t>1 pc (335 ml)</t>
  </si>
  <si>
    <t>1 pc (270 ml)</t>
  </si>
  <si>
    <t>1 pc (50 ml)</t>
  </si>
  <si>
    <t>₹285</t>
  </si>
  <si>
    <t>₹313</t>
  </si>
  <si>
    <t>₹523</t>
  </si>
  <si>
    <t>₹1400</t>
  </si>
  <si>
    <t>₹825</t>
  </si>
  <si>
    <t>6% Off</t>
  </si>
  <si>
    <t>36% Off</t>
  </si>
  <si>
    <t>7% Off</t>
  </si>
  <si>
    <t>31% Off</t>
  </si>
  <si>
    <t>34% Off</t>
  </si>
  <si>
    <t>42% Off</t>
  </si>
  <si>
    <t>11% Off</t>
  </si>
  <si>
    <t>9% Off</t>
  </si>
  <si>
    <t>Dove Peptide Bond Strength Hair Treatment Mask</t>
  </si>
  <si>
    <t>Dove 10 in 1 Deep Repair Treatment Hair Mask</t>
  </si>
  <si>
    <t>Dove All Day Nourish + Uv Protect Hair Serum For All Hair Types With Bio Protein Care</t>
  </si>
  <si>
    <t>Dove Deep Repair Treatment Hair Mask For Damaged Hair</t>
  </si>
  <si>
    <t>Dove Glycolic Hydration Xl Shampoo</t>
  </si>
  <si>
    <t>Dove Men+Care Anti Dandruff 2in1 Shampoo+Conditioner</t>
  </si>
  <si>
    <t>Dove Dryness Care Conditioner</t>
  </si>
  <si>
    <t>Bblunt</t>
  </si>
  <si>
    <t>BBlunt Intense Moisture Hair Mask With Jojoba Oil &amp; Vitamin E</t>
  </si>
  <si>
    <t>Dove Intense Repair Shampoo Xl Bottle</t>
  </si>
  <si>
    <t>300 g</t>
  </si>
  <si>
    <t>1 pc (120 ml)</t>
  </si>
  <si>
    <t>1 pc (48 ml)</t>
  </si>
  <si>
    <t>1 pc (250 g)</t>
  </si>
  <si>
    <t>₹818</t>
  </si>
  <si>
    <t>₹538</t>
  </si>
  <si>
    <t>24% Off</t>
  </si>
  <si>
    <t>26% Off</t>
  </si>
  <si>
    <t>50% Off</t>
  </si>
  <si>
    <t>32% Off</t>
  </si>
  <si>
    <t>Nexxus</t>
  </si>
  <si>
    <t>Nexxus Promend Repair Keratinizing Treatment Mask For Damaged Hair</t>
  </si>
  <si>
    <t>Nexxus Promend Moisture Collagenizing Treatment Mask For Dry Hair</t>
  </si>
  <si>
    <t>Streax</t>
  </si>
  <si>
    <t>Streax Moisture Boost Spray Hair Serum | Hydrating - Frizz Free - Smooth - Silky Finish</t>
  </si>
  <si>
    <t>The Ordinary</t>
  </si>
  <si>
    <t>The Ordinary Multi-peptide Hair Serum for Density- Thicker- Healthier Hair | All Hair Types</t>
  </si>
  <si>
    <t>Forest Essentials</t>
  </si>
  <si>
    <t>Forest Essentials Hair Cleanser Bhringraj &amp; Shikakai | Travel Size Strengthening Shampoo</t>
  </si>
  <si>
    <t>Curl Up</t>
  </si>
  <si>
    <t>Curl Up Intense Hydrating Hair Mask | Deep Conditioner For Curly Hair &amp; Wavy Hair | Silicone Free</t>
  </si>
  <si>
    <t>1 pc (60 ml)</t>
  </si>
  <si>
    <t>1 pc (200 g)</t>
  </si>
  <si>
    <t>₹1199</t>
  </si>
  <si>
    <t>₹1899</t>
  </si>
  <si>
    <t>16% Off</t>
  </si>
  <si>
    <t>3% Off</t>
  </si>
  <si>
    <t>NN</t>
  </si>
  <si>
    <t xml:space="preserve">Blinkit,Zetpto,Swiggy 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</si>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</sst>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10" fontId="0" fillId="2" borderId="0" xfId="0" applyNumberFormat="1" applyFill="1"/>
    <xf numFmtId="10" fontId="0" fillId="0" borderId="0" xfId="0" applyNumberFormat="1"/>
    <xf numFmtId="0" fontId="3" fillId="0" borderId="0" xfId="2"/>
    <xf numFmtId="164" fontId="0" fillId="2" borderId="0" xfId="0" applyNumberFormat="1" applyFill="1"/>
    <xf numFmtId="164" fontId="0" fillId="0" borderId="0" xfId="0" applyNumberFormat="1"/>
    <xf numFmtId="164" fontId="3" fillId="0" borderId="0" xfId="2" applyNumberFormat="1"/>
    <xf numFmtId="164" fontId="0" fillId="2" borderId="0" xfId="1" applyNumberFormat="1" applyFont="1" applyFill="1"/>
    <xf numFmtId="164" fontId="0" fillId="0" borderId="0" xfId="1" applyNumberFormat="1" applyFont="1"/>
    <xf numFmtId="164" fontId="3" fillId="0" borderId="0" xfId="1" applyNumberFormat="1" applyFont="1"/>
    <xf numFmtId="2" fontId="3" fillId="0" borderId="0" xfId="2" applyNumberFormat="1"/>
    <xf numFmtId="9" fontId="0" fillId="0" borderId="0" xfId="0" applyNumberFormat="1"/>
    <xf numFmtId="9" fontId="0" fillId="0" borderId="0" xfId="3" applyFont="1"/>
  </cellXfs>
  <cellStyles count="4">
    <cellStyle name="Currency" xfId="1" builtinId="4"/>
    <cellStyle name="Normal" xfId="0" builtinId="0"/>
    <cellStyle name="Normal 2" xfId="2" xr:uid="{EC75CFF1-896D-41CF-96E2-68C6463AC2BD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40"/>
  <sheetViews>
    <sheetView zoomScale="70" zoomScaleNormal="70" workbookViewId="0">
      <selection activeCell="S19" sqref="S19"/>
    </sheetView>
  </sheetViews>
  <sheetFormatPr defaultRowHeight="15" x14ac:dyDescent="0.25"/>
  <cols>
    <col min="1" max="1" width="17.85546875" bestFit="1" customWidth="1"/>
    <col min="2" max="2" width="82.42578125" bestFit="1" customWidth="1"/>
    <col min="3" max="4" width="8.7109375" bestFit="1" customWidth="1"/>
    <col min="5" max="5" width="8.85546875" bestFit="1" customWidth="1"/>
    <col min="6" max="6" width="12.85546875" bestFit="1" customWidth="1"/>
    <col min="7" max="7" width="12.28515625" style="6" bestFit="1" customWidth="1"/>
    <col min="8" max="8" width="15" style="9" bestFit="1" customWidth="1"/>
    <col min="9" max="9" width="12.140625" style="3" bestFit="1" customWidth="1"/>
    <col min="10" max="10" width="11.5703125" bestFit="1" customWidth="1"/>
    <col min="11" max="11" width="18.8554687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43</v>
      </c>
      <c r="D1" s="1" t="s">
        <v>2</v>
      </c>
      <c r="E1" s="1" t="s">
        <v>3</v>
      </c>
      <c r="F1" s="1" t="s">
        <v>4</v>
      </c>
      <c r="G1" s="5" t="s">
        <v>5</v>
      </c>
      <c r="H1" s="8" t="s">
        <v>6</v>
      </c>
      <c r="I1" s="2" t="s">
        <v>7</v>
      </c>
      <c r="J1" s="1" t="s">
        <v>8</v>
      </c>
      <c r="K1" s="1" t="s">
        <v>9</v>
      </c>
      <c r="L1" s="1" t="s">
        <v>886</v>
      </c>
    </row>
    <row r="2" spans="1:12" ht="15.75" x14ac:dyDescent="0.25">
      <c r="A2" t="str">
        <f>LEFT(B2, FIND(" ",B2)-1)</f>
        <v>8x</v>
      </c>
      <c r="B2" s="4" t="s">
        <v>469</v>
      </c>
      <c r="C2" s="4" t="s">
        <v>248</v>
      </c>
      <c r="D2" t="s">
        <v>837</v>
      </c>
      <c r="E2">
        <v>560034</v>
      </c>
      <c r="F2" t="s">
        <v>19</v>
      </c>
      <c r="G2" s="7" t="s">
        <v>736</v>
      </c>
      <c r="H2" s="10" t="s">
        <v>539</v>
      </c>
      <c r="I2" s="4" t="s">
        <v>879</v>
      </c>
      <c r="J2" t="s">
        <v>887</v>
      </c>
      <c r="K2" s="4" t="s">
        <v>889</v>
      </c>
      <c r="L2" s="12">
        <v>0.13</v>
      </c>
    </row>
    <row r="3" spans="1:12" ht="15.75" x14ac:dyDescent="0.25">
      <c r="A3" t="str">
        <f>LEFT(B3, FIND(" ",B3)-1)</f>
        <v>8X</v>
      </c>
      <c r="B3" s="4" t="s">
        <v>506</v>
      </c>
      <c r="C3" s="4" t="s">
        <v>361</v>
      </c>
      <c r="D3" t="s">
        <v>837</v>
      </c>
      <c r="E3">
        <v>560034</v>
      </c>
      <c r="F3" t="s">
        <v>19</v>
      </c>
      <c r="G3" s="7" t="s">
        <v>822</v>
      </c>
      <c r="H3" s="10" t="s">
        <v>820</v>
      </c>
      <c r="I3" s="4" t="s">
        <v>877</v>
      </c>
      <c r="J3" t="s">
        <v>887</v>
      </c>
      <c r="K3" s="4" t="s">
        <v>889</v>
      </c>
      <c r="L3" s="12">
        <v>0.05</v>
      </c>
    </row>
    <row r="4" spans="1:12" ht="15.75" x14ac:dyDescent="0.25">
      <c r="A4" t="str">
        <f>LEFT(B4, FIND(" ",B4)-1)</f>
        <v>Anveshan</v>
      </c>
      <c r="B4" s="4" t="s">
        <v>344</v>
      </c>
      <c r="C4" s="4" t="s">
        <v>166</v>
      </c>
      <c r="D4" t="s">
        <v>837</v>
      </c>
      <c r="E4">
        <v>560034</v>
      </c>
      <c r="F4" t="s">
        <v>19</v>
      </c>
      <c r="G4" s="7" t="s">
        <v>542</v>
      </c>
      <c r="H4" s="10" t="s">
        <v>544</v>
      </c>
      <c r="I4" s="4" t="s">
        <v>862</v>
      </c>
      <c r="J4" t="s">
        <v>887</v>
      </c>
      <c r="K4" s="4" t="s">
        <v>889</v>
      </c>
      <c r="L4" s="12">
        <v>0.19</v>
      </c>
    </row>
    <row r="5" spans="1:12" ht="15.75" x14ac:dyDescent="0.25">
      <c r="A5" t="str">
        <f>LEFT(B5, FIND(" ",B5)-1)</f>
        <v>Arata</v>
      </c>
      <c r="B5" s="4" t="s">
        <v>409</v>
      </c>
      <c r="C5" s="4" t="s">
        <v>240</v>
      </c>
      <c r="D5" t="s">
        <v>837</v>
      </c>
      <c r="E5">
        <v>560034</v>
      </c>
      <c r="F5" t="s">
        <v>19</v>
      </c>
      <c r="G5" s="7" t="s">
        <v>670</v>
      </c>
      <c r="H5" s="10" t="s">
        <v>578</v>
      </c>
      <c r="I5" s="4" t="s">
        <v>841</v>
      </c>
      <c r="J5" t="s">
        <v>887</v>
      </c>
      <c r="K5" s="4" t="s">
        <v>889</v>
      </c>
      <c r="L5" s="12">
        <v>0.14000000000000001</v>
      </c>
    </row>
    <row r="6" spans="1:12" ht="15.75" x14ac:dyDescent="0.25">
      <c r="A6" t="str">
        <f>LEFT(B6, FIND(" ",B6)-1)</f>
        <v>Arata</v>
      </c>
      <c r="B6" s="4" t="s">
        <v>424</v>
      </c>
      <c r="C6" s="4" t="s">
        <v>425</v>
      </c>
      <c r="D6" t="s">
        <v>837</v>
      </c>
      <c r="E6">
        <v>560034</v>
      </c>
      <c r="F6" t="s">
        <v>19</v>
      </c>
      <c r="G6" s="7" t="s">
        <v>747</v>
      </c>
      <c r="H6" s="10" t="s">
        <v>604</v>
      </c>
      <c r="I6" s="4" t="s">
        <v>868</v>
      </c>
      <c r="J6" t="s">
        <v>887</v>
      </c>
      <c r="K6" s="4" t="s">
        <v>889</v>
      </c>
      <c r="L6" s="12">
        <v>0.22</v>
      </c>
    </row>
    <row r="7" spans="1:12" ht="15.75" x14ac:dyDescent="0.25">
      <c r="A7" t="str">
        <f>LEFT(B7, FIND(" ",B7)-1)</f>
        <v>Aroma</v>
      </c>
      <c r="B7" s="4" t="s">
        <v>289</v>
      </c>
      <c r="C7" s="4" t="s">
        <v>83</v>
      </c>
      <c r="D7" t="s">
        <v>837</v>
      </c>
      <c r="E7">
        <v>560034</v>
      </c>
      <c r="F7" t="s">
        <v>19</v>
      </c>
      <c r="G7" s="7" t="s">
        <v>628</v>
      </c>
      <c r="H7" s="10" t="s">
        <v>629</v>
      </c>
      <c r="I7" s="4" t="s">
        <v>841</v>
      </c>
      <c r="J7" t="s">
        <v>887</v>
      </c>
      <c r="K7" s="4" t="s">
        <v>889</v>
      </c>
      <c r="L7" s="12">
        <v>0.14000000000000001</v>
      </c>
    </row>
    <row r="8" spans="1:12" ht="15.75" x14ac:dyDescent="0.25">
      <c r="A8" t="str">
        <f>LEFT(B8, FIND(" ",B8)-1)</f>
        <v>Aswini</v>
      </c>
      <c r="B8" s="4" t="s">
        <v>270</v>
      </c>
      <c r="C8" s="4" t="s">
        <v>48</v>
      </c>
      <c r="D8" t="s">
        <v>837</v>
      </c>
      <c r="E8">
        <v>560034</v>
      </c>
      <c r="F8" t="s">
        <v>19</v>
      </c>
      <c r="G8" s="7" t="s">
        <v>600</v>
      </c>
      <c r="H8" s="10" t="s">
        <v>601</v>
      </c>
      <c r="I8" s="4" t="s">
        <v>857</v>
      </c>
      <c r="J8" t="s">
        <v>887</v>
      </c>
      <c r="K8" s="4" t="s">
        <v>888</v>
      </c>
      <c r="L8" s="12">
        <v>0.1</v>
      </c>
    </row>
    <row r="9" spans="1:12" ht="15.75" x14ac:dyDescent="0.25">
      <c r="A9" t="str">
        <f>LEFT(B9, FIND(" ",B9)-1)</f>
        <v>Aveeno</v>
      </c>
      <c r="B9" s="4" t="s">
        <v>462</v>
      </c>
      <c r="C9" s="4" t="s">
        <v>463</v>
      </c>
      <c r="D9" t="s">
        <v>837</v>
      </c>
      <c r="E9">
        <v>560034</v>
      </c>
      <c r="F9" t="s">
        <v>19</v>
      </c>
      <c r="G9" s="7" t="s">
        <v>780</v>
      </c>
      <c r="H9" s="10" t="s">
        <v>98</v>
      </c>
      <c r="I9" s="4" t="s">
        <v>98</v>
      </c>
      <c r="J9" t="s">
        <v>887</v>
      </c>
      <c r="K9" s="4" t="s">
        <v>889</v>
      </c>
      <c r="L9" t="s">
        <v>106</v>
      </c>
    </row>
    <row r="10" spans="1:12" ht="15.75" x14ac:dyDescent="0.25">
      <c r="A10" t="str">
        <f>LEFT(B10, FIND(" ",B10)-1)</f>
        <v>Avimee</v>
      </c>
      <c r="B10" s="4" t="s">
        <v>312</v>
      </c>
      <c r="C10" s="4" t="s">
        <v>83</v>
      </c>
      <c r="D10" t="s">
        <v>837</v>
      </c>
      <c r="E10">
        <v>560034</v>
      </c>
      <c r="F10" t="s">
        <v>19</v>
      </c>
      <c r="G10" s="7" t="s">
        <v>533</v>
      </c>
      <c r="H10" s="10" t="s">
        <v>611</v>
      </c>
      <c r="I10" s="4" t="s">
        <v>852</v>
      </c>
      <c r="J10" t="s">
        <v>887</v>
      </c>
      <c r="K10" s="4" t="s">
        <v>888</v>
      </c>
      <c r="L10" s="12">
        <v>0.4</v>
      </c>
    </row>
    <row r="11" spans="1:12" ht="15.75" x14ac:dyDescent="0.25">
      <c r="A11" t="str">
        <f>LEFT(B11, FIND(" ",B11)-1)</f>
        <v>Avimee</v>
      </c>
      <c r="B11" s="4" t="s">
        <v>366</v>
      </c>
      <c r="C11" s="4" t="s">
        <v>354</v>
      </c>
      <c r="D11" t="s">
        <v>837</v>
      </c>
      <c r="E11">
        <v>560034</v>
      </c>
      <c r="F11" t="s">
        <v>19</v>
      </c>
      <c r="G11" s="7" t="s">
        <v>605</v>
      </c>
      <c r="H11" s="10" t="s">
        <v>697</v>
      </c>
      <c r="I11" s="4" t="s">
        <v>876</v>
      </c>
      <c r="J11" t="s">
        <v>887</v>
      </c>
      <c r="K11" s="4" t="s">
        <v>889</v>
      </c>
      <c r="L11" s="12">
        <v>0.21</v>
      </c>
    </row>
    <row r="12" spans="1:12" ht="15.75" x14ac:dyDescent="0.25">
      <c r="A12" t="str">
        <f>LEFT(B12, FIND(" ",B12)-1)</f>
        <v>Bajaj</v>
      </c>
      <c r="B12" s="4" t="s">
        <v>216</v>
      </c>
      <c r="C12" s="4" t="s">
        <v>217</v>
      </c>
      <c r="D12" t="s">
        <v>837</v>
      </c>
      <c r="E12">
        <v>560034</v>
      </c>
      <c r="F12" t="s">
        <v>19</v>
      </c>
      <c r="G12" s="7" t="s">
        <v>534</v>
      </c>
      <c r="H12" s="10" t="s">
        <v>98</v>
      </c>
      <c r="I12" s="4" t="s">
        <v>98</v>
      </c>
      <c r="J12" t="s">
        <v>887</v>
      </c>
      <c r="K12" s="4" t="s">
        <v>888</v>
      </c>
      <c r="L12" t="s">
        <v>106</v>
      </c>
    </row>
    <row r="13" spans="1:12" ht="15.75" x14ac:dyDescent="0.25">
      <c r="A13" t="str">
        <f>LEFT(B13, FIND(" ",B13)-1)</f>
        <v>Bajaj</v>
      </c>
      <c r="B13" s="4" t="s">
        <v>225</v>
      </c>
      <c r="C13" s="4" t="s">
        <v>78</v>
      </c>
      <c r="D13" t="s">
        <v>837</v>
      </c>
      <c r="E13">
        <v>560034</v>
      </c>
      <c r="F13" t="s">
        <v>19</v>
      </c>
      <c r="G13" s="7" t="s">
        <v>545</v>
      </c>
      <c r="H13" s="10" t="s">
        <v>546</v>
      </c>
      <c r="I13" s="4" t="s">
        <v>844</v>
      </c>
      <c r="J13" t="s">
        <v>887</v>
      </c>
      <c r="K13" s="4" t="s">
        <v>889</v>
      </c>
      <c r="L13" s="12">
        <v>0.35</v>
      </c>
    </row>
    <row r="14" spans="1:12" ht="15.75" x14ac:dyDescent="0.25">
      <c r="A14" t="str">
        <f>LEFT(B14, FIND(" ",B14)-1)</f>
        <v>Bajaj</v>
      </c>
      <c r="B14" s="4" t="s">
        <v>230</v>
      </c>
      <c r="C14" s="4" t="s">
        <v>96</v>
      </c>
      <c r="D14" t="s">
        <v>837</v>
      </c>
      <c r="E14">
        <v>560034</v>
      </c>
      <c r="F14" t="s">
        <v>19</v>
      </c>
      <c r="G14" s="7" t="s">
        <v>552</v>
      </c>
      <c r="H14" s="10" t="s">
        <v>98</v>
      </c>
      <c r="I14" s="4" t="s">
        <v>98</v>
      </c>
      <c r="J14" t="s">
        <v>887</v>
      </c>
      <c r="K14" s="4" t="s">
        <v>889</v>
      </c>
      <c r="L14" t="s">
        <v>106</v>
      </c>
    </row>
    <row r="15" spans="1:12" ht="15.75" x14ac:dyDescent="0.25">
      <c r="A15" t="str">
        <f>LEFT(B15, FIND(" ",B15)-1)</f>
        <v>Bajaj</v>
      </c>
      <c r="B15" s="4" t="s">
        <v>245</v>
      </c>
      <c r="C15" s="4" t="s">
        <v>234</v>
      </c>
      <c r="D15" t="s">
        <v>837</v>
      </c>
      <c r="E15">
        <v>560034</v>
      </c>
      <c r="F15" t="s">
        <v>19</v>
      </c>
      <c r="G15" s="7" t="s">
        <v>571</v>
      </c>
      <c r="H15" s="10" t="s">
        <v>572</v>
      </c>
      <c r="I15" s="4" t="s">
        <v>842</v>
      </c>
      <c r="J15" t="s">
        <v>887</v>
      </c>
      <c r="K15" s="4" t="s">
        <v>888</v>
      </c>
      <c r="L15" s="12">
        <v>0.17</v>
      </c>
    </row>
    <row r="16" spans="1:12" ht="15.75" x14ac:dyDescent="0.25">
      <c r="A16" t="str">
        <f>LEFT(B16, FIND(" ",B16)-1)</f>
        <v>Bajaj</v>
      </c>
      <c r="B16" s="4" t="s">
        <v>254</v>
      </c>
      <c r="C16" s="4" t="s">
        <v>81</v>
      </c>
      <c r="D16" t="s">
        <v>837</v>
      </c>
      <c r="E16">
        <v>560034</v>
      </c>
      <c r="F16" t="s">
        <v>19</v>
      </c>
      <c r="G16" s="7" t="s">
        <v>582</v>
      </c>
      <c r="H16" s="10" t="s">
        <v>583</v>
      </c>
      <c r="I16" s="4" t="s">
        <v>859</v>
      </c>
      <c r="J16" t="s">
        <v>887</v>
      </c>
      <c r="K16" s="4" t="s">
        <v>889</v>
      </c>
      <c r="L16" s="12">
        <v>0.39</v>
      </c>
    </row>
    <row r="17" spans="1:12" ht="15.75" x14ac:dyDescent="0.25">
      <c r="A17" t="str">
        <f>LEFT(B17, FIND(" ",B17)-1)</f>
        <v>Bajaj</v>
      </c>
      <c r="B17" s="4" t="s">
        <v>263</v>
      </c>
      <c r="C17" s="4" t="s">
        <v>238</v>
      </c>
      <c r="D17" t="s">
        <v>837</v>
      </c>
      <c r="E17">
        <v>560034</v>
      </c>
      <c r="F17" t="s">
        <v>19</v>
      </c>
      <c r="G17" s="7" t="s">
        <v>543</v>
      </c>
      <c r="H17" s="10" t="s">
        <v>591</v>
      </c>
      <c r="I17" s="4" t="s">
        <v>863</v>
      </c>
      <c r="J17" t="s">
        <v>887</v>
      </c>
      <c r="K17" s="4" t="s">
        <v>889</v>
      </c>
      <c r="L17" s="12">
        <v>0.41</v>
      </c>
    </row>
    <row r="18" spans="1:12" ht="15.75" x14ac:dyDescent="0.25">
      <c r="A18" t="str">
        <f>LEFT(B18, FIND(" ",B18)-1)</f>
        <v>Bajaj</v>
      </c>
      <c r="B18" s="4" t="s">
        <v>263</v>
      </c>
      <c r="C18" s="4" t="s">
        <v>238</v>
      </c>
      <c r="D18" t="s">
        <v>837</v>
      </c>
      <c r="E18">
        <v>560034</v>
      </c>
      <c r="F18" t="s">
        <v>19</v>
      </c>
      <c r="G18" s="7" t="s">
        <v>652</v>
      </c>
      <c r="H18" s="10" t="s">
        <v>653</v>
      </c>
      <c r="I18" s="4" t="s">
        <v>856</v>
      </c>
      <c r="J18" t="s">
        <v>887</v>
      </c>
      <c r="K18" s="4" t="s">
        <v>888</v>
      </c>
      <c r="L18" s="12">
        <v>0.44</v>
      </c>
    </row>
    <row r="19" spans="1:12" ht="15.75" x14ac:dyDescent="0.25">
      <c r="A19" t="str">
        <f>LEFT(B19, FIND(" ",B19)-1)</f>
        <v>Bajaj</v>
      </c>
      <c r="B19" s="4" t="s">
        <v>230</v>
      </c>
      <c r="C19" s="4" t="s">
        <v>96</v>
      </c>
      <c r="D19" t="s">
        <v>837</v>
      </c>
      <c r="E19">
        <v>560034</v>
      </c>
      <c r="F19" t="s">
        <v>19</v>
      </c>
      <c r="G19" s="7" t="s">
        <v>693</v>
      </c>
      <c r="H19" s="10" t="s">
        <v>694</v>
      </c>
      <c r="I19" s="4" t="s">
        <v>857</v>
      </c>
      <c r="J19" t="s">
        <v>887</v>
      </c>
      <c r="K19" s="4" t="s">
        <v>888</v>
      </c>
      <c r="L19" s="12">
        <v>0.1</v>
      </c>
    </row>
    <row r="20" spans="1:12" ht="15.75" x14ac:dyDescent="0.25">
      <c r="A20" t="str">
        <f>LEFT(B20, FIND(" ",B20)-1)</f>
        <v>Bajaj</v>
      </c>
      <c r="B20" s="4" t="s">
        <v>245</v>
      </c>
      <c r="C20" s="4" t="s">
        <v>234</v>
      </c>
      <c r="D20" t="s">
        <v>837</v>
      </c>
      <c r="E20">
        <v>560034</v>
      </c>
      <c r="F20" t="s">
        <v>19</v>
      </c>
      <c r="G20" s="7" t="s">
        <v>700</v>
      </c>
      <c r="H20" s="10" t="s">
        <v>701</v>
      </c>
      <c r="I20" s="4" t="s">
        <v>877</v>
      </c>
      <c r="J20" t="s">
        <v>887</v>
      </c>
      <c r="K20" s="4" t="s">
        <v>888</v>
      </c>
      <c r="L20" s="12">
        <v>0.05</v>
      </c>
    </row>
    <row r="21" spans="1:12" ht="15.75" x14ac:dyDescent="0.25">
      <c r="A21" t="str">
        <f>LEFT(B21, FIND(" ",B21)-1)</f>
        <v>Bajaj</v>
      </c>
      <c r="B21" s="4" t="s">
        <v>263</v>
      </c>
      <c r="C21" s="4" t="s">
        <v>238</v>
      </c>
      <c r="D21" t="s">
        <v>837</v>
      </c>
      <c r="E21">
        <v>560034</v>
      </c>
      <c r="F21" t="s">
        <v>19</v>
      </c>
      <c r="G21" s="7" t="s">
        <v>581</v>
      </c>
      <c r="H21" s="10" t="s">
        <v>588</v>
      </c>
      <c r="I21" s="4" t="s">
        <v>877</v>
      </c>
      <c r="J21" t="s">
        <v>887</v>
      </c>
      <c r="K21" s="4" t="s">
        <v>889</v>
      </c>
      <c r="L21" s="12">
        <v>0.05</v>
      </c>
    </row>
    <row r="22" spans="1:12" ht="15.75" x14ac:dyDescent="0.25">
      <c r="A22" t="str">
        <f>LEFT(B22, FIND(" ",B22)-1)</f>
        <v>Bajaj</v>
      </c>
      <c r="B22" s="4" t="s">
        <v>254</v>
      </c>
      <c r="C22" s="4" t="s">
        <v>81</v>
      </c>
      <c r="D22" t="s">
        <v>837</v>
      </c>
      <c r="E22">
        <v>560034</v>
      </c>
      <c r="F22" t="s">
        <v>19</v>
      </c>
      <c r="G22" s="7" t="s">
        <v>713</v>
      </c>
      <c r="H22" s="10" t="s">
        <v>714</v>
      </c>
      <c r="I22" s="4" t="s">
        <v>841</v>
      </c>
      <c r="J22" t="s">
        <v>887</v>
      </c>
      <c r="K22" s="4" t="s">
        <v>889</v>
      </c>
      <c r="L22" s="12">
        <v>0.14000000000000001</v>
      </c>
    </row>
    <row r="23" spans="1:12" ht="15.75" x14ac:dyDescent="0.25">
      <c r="A23" t="str">
        <f>LEFT(B23, FIND(" ",B23)-1)</f>
        <v>Bajaj</v>
      </c>
      <c r="B23" s="4" t="s">
        <v>387</v>
      </c>
      <c r="C23" s="4" t="s">
        <v>222</v>
      </c>
      <c r="D23" t="s">
        <v>837</v>
      </c>
      <c r="E23">
        <v>560034</v>
      </c>
      <c r="F23" t="s">
        <v>19</v>
      </c>
      <c r="G23" s="7" t="s">
        <v>621</v>
      </c>
      <c r="H23" s="10" t="s">
        <v>706</v>
      </c>
      <c r="I23" s="4" t="s">
        <v>98</v>
      </c>
      <c r="J23" t="s">
        <v>887</v>
      </c>
      <c r="K23" s="4" t="s">
        <v>889</v>
      </c>
      <c r="L23" t="s">
        <v>106</v>
      </c>
    </row>
    <row r="24" spans="1:12" ht="15.75" x14ac:dyDescent="0.25">
      <c r="A24" t="str">
        <f>LEFT(B24, FIND(" ",B24)-1)</f>
        <v>Bajaj</v>
      </c>
      <c r="B24" s="4" t="s">
        <v>387</v>
      </c>
      <c r="C24" s="4" t="s">
        <v>83</v>
      </c>
      <c r="D24" t="s">
        <v>837</v>
      </c>
      <c r="E24">
        <v>560034</v>
      </c>
      <c r="F24" t="s">
        <v>19</v>
      </c>
      <c r="G24" s="7" t="s">
        <v>578</v>
      </c>
      <c r="H24" s="10" t="s">
        <v>649</v>
      </c>
      <c r="I24" s="4" t="s">
        <v>839</v>
      </c>
      <c r="J24" t="s">
        <v>887</v>
      </c>
      <c r="K24" s="4" t="s">
        <v>888</v>
      </c>
      <c r="L24" s="12">
        <v>0.09</v>
      </c>
    </row>
    <row r="25" spans="1:12" x14ac:dyDescent="0.25">
      <c r="A25" t="s">
        <v>902</v>
      </c>
      <c r="B25" t="s">
        <v>903</v>
      </c>
      <c r="C25" t="s">
        <v>934</v>
      </c>
      <c r="D25" t="s">
        <v>18</v>
      </c>
      <c r="E25">
        <v>560034</v>
      </c>
      <c r="F25" t="s">
        <v>19</v>
      </c>
      <c r="G25" s="6">
        <v>219</v>
      </c>
      <c r="H25" t="s">
        <v>585</v>
      </c>
      <c r="I25" t="s">
        <v>955</v>
      </c>
      <c r="J25" t="s">
        <v>887</v>
      </c>
      <c r="K25" t="s">
        <v>889</v>
      </c>
      <c r="L25" s="12">
        <v>0.45</v>
      </c>
    </row>
    <row r="26" spans="1:12" x14ac:dyDescent="0.25">
      <c r="A26" t="s">
        <v>902</v>
      </c>
      <c r="B26" t="s">
        <v>903</v>
      </c>
      <c r="C26" t="s">
        <v>934</v>
      </c>
      <c r="D26" t="s">
        <v>18</v>
      </c>
      <c r="E26">
        <v>560034</v>
      </c>
      <c r="F26" t="s">
        <v>19</v>
      </c>
      <c r="G26" s="6">
        <v>219</v>
      </c>
      <c r="H26" t="s">
        <v>585</v>
      </c>
      <c r="I26" t="s">
        <v>955</v>
      </c>
      <c r="J26" t="s">
        <v>887</v>
      </c>
      <c r="K26" t="s">
        <v>889</v>
      </c>
      <c r="L26" s="12">
        <v>0.45</v>
      </c>
    </row>
    <row r="27" spans="1:12" x14ac:dyDescent="0.25">
      <c r="A27" t="s">
        <v>902</v>
      </c>
      <c r="B27" t="s">
        <v>903</v>
      </c>
      <c r="C27" t="s">
        <v>934</v>
      </c>
      <c r="D27" t="s">
        <v>18</v>
      </c>
      <c r="E27">
        <v>560034</v>
      </c>
      <c r="F27" t="s">
        <v>19</v>
      </c>
      <c r="G27" s="6">
        <v>219</v>
      </c>
      <c r="H27" t="s">
        <v>585</v>
      </c>
      <c r="I27" t="s">
        <v>955</v>
      </c>
      <c r="J27" t="s">
        <v>887</v>
      </c>
      <c r="K27" t="s">
        <v>889</v>
      </c>
      <c r="L27" s="12">
        <v>0.45</v>
      </c>
    </row>
    <row r="28" spans="1:12" ht="15.75" x14ac:dyDescent="0.25">
      <c r="A28" t="str">
        <f>LEFT(B28, FIND(" ",B28)-1)</f>
        <v>Bare</v>
      </c>
      <c r="B28" s="4" t="s">
        <v>381</v>
      </c>
      <c r="C28" s="4" t="s">
        <v>222</v>
      </c>
      <c r="D28" t="s">
        <v>837</v>
      </c>
      <c r="E28">
        <v>560034</v>
      </c>
      <c r="F28" t="s">
        <v>19</v>
      </c>
      <c r="G28" s="7" t="s">
        <v>582</v>
      </c>
      <c r="H28" s="10" t="s">
        <v>583</v>
      </c>
      <c r="I28" s="4" t="s">
        <v>859</v>
      </c>
      <c r="J28" t="s">
        <v>887</v>
      </c>
      <c r="K28" s="4" t="s">
        <v>889</v>
      </c>
      <c r="L28" s="12">
        <v>0.39</v>
      </c>
    </row>
    <row r="29" spans="1:12" ht="15.75" x14ac:dyDescent="0.25">
      <c r="A29" t="str">
        <f>LEFT(B29, FIND(" ",B29)-1)</f>
        <v>Bare</v>
      </c>
      <c r="B29" s="4" t="s">
        <v>386</v>
      </c>
      <c r="C29" s="4" t="s">
        <v>240</v>
      </c>
      <c r="D29" t="s">
        <v>837</v>
      </c>
      <c r="E29">
        <v>560034</v>
      </c>
      <c r="F29" t="s">
        <v>19</v>
      </c>
      <c r="G29" s="7" t="s">
        <v>594</v>
      </c>
      <c r="H29" s="10" t="s">
        <v>595</v>
      </c>
      <c r="I29" s="4" t="s">
        <v>845</v>
      </c>
      <c r="J29" t="s">
        <v>887</v>
      </c>
      <c r="K29" s="4" t="s">
        <v>889</v>
      </c>
      <c r="L29" s="12">
        <v>0.25</v>
      </c>
    </row>
    <row r="30" spans="1:12" ht="15.75" x14ac:dyDescent="0.25">
      <c r="A30" t="str">
        <f>LEFT(B30, FIND(" ",B30)-1)</f>
        <v>Bare</v>
      </c>
      <c r="B30" s="4" t="s">
        <v>390</v>
      </c>
      <c r="C30" s="4" t="s">
        <v>391</v>
      </c>
      <c r="D30" t="s">
        <v>837</v>
      </c>
      <c r="E30">
        <v>560034</v>
      </c>
      <c r="F30" t="s">
        <v>19</v>
      </c>
      <c r="G30" s="7" t="s">
        <v>577</v>
      </c>
      <c r="H30" s="10" t="s">
        <v>640</v>
      </c>
      <c r="I30" s="4" t="s">
        <v>839</v>
      </c>
      <c r="J30" t="s">
        <v>887</v>
      </c>
      <c r="K30" s="4" t="s">
        <v>889</v>
      </c>
      <c r="L30" s="12">
        <v>0.09</v>
      </c>
    </row>
    <row r="31" spans="1:12" ht="15.75" x14ac:dyDescent="0.25">
      <c r="A31" t="str">
        <f>LEFT(B31, FIND(" ",B31)-1)</f>
        <v>Bare</v>
      </c>
      <c r="B31" s="4" t="s">
        <v>448</v>
      </c>
      <c r="C31" s="4" t="s">
        <v>166</v>
      </c>
      <c r="D31" t="s">
        <v>837</v>
      </c>
      <c r="E31">
        <v>560034</v>
      </c>
      <c r="F31" t="s">
        <v>19</v>
      </c>
      <c r="G31" s="7" t="s">
        <v>696</v>
      </c>
      <c r="H31" s="10" t="s">
        <v>537</v>
      </c>
      <c r="I31" s="4" t="s">
        <v>854</v>
      </c>
      <c r="J31" t="s">
        <v>887</v>
      </c>
      <c r="K31" s="4" t="s">
        <v>891</v>
      </c>
      <c r="L31" s="12">
        <v>0.2</v>
      </c>
    </row>
    <row r="32" spans="1:12" ht="15.75" x14ac:dyDescent="0.25">
      <c r="A32" t="str">
        <f>LEFT(B32, FIND(" ",B32)-1)</f>
        <v>Bare</v>
      </c>
      <c r="B32" s="4" t="s">
        <v>453</v>
      </c>
      <c r="C32" s="4" t="s">
        <v>166</v>
      </c>
      <c r="D32" t="s">
        <v>837</v>
      </c>
      <c r="E32">
        <v>560034</v>
      </c>
      <c r="F32" t="s">
        <v>19</v>
      </c>
      <c r="G32" s="7" t="s">
        <v>585</v>
      </c>
      <c r="H32" s="10" t="s">
        <v>649</v>
      </c>
      <c r="I32" s="4" t="s">
        <v>854</v>
      </c>
      <c r="J32" t="s">
        <v>887</v>
      </c>
      <c r="K32" s="4" t="s">
        <v>888</v>
      </c>
      <c r="L32" s="12">
        <v>0.2</v>
      </c>
    </row>
    <row r="33" spans="1:12" ht="15.75" x14ac:dyDescent="0.25">
      <c r="A33" t="str">
        <f>LEFT(B33, FIND(" ",B33)-1)</f>
        <v>Bare</v>
      </c>
      <c r="B33" s="4" t="s">
        <v>464</v>
      </c>
      <c r="C33" s="4" t="s">
        <v>166</v>
      </c>
      <c r="D33" t="s">
        <v>837</v>
      </c>
      <c r="E33">
        <v>560034</v>
      </c>
      <c r="F33" t="s">
        <v>19</v>
      </c>
      <c r="G33" s="7" t="s">
        <v>781</v>
      </c>
      <c r="H33" s="10" t="s">
        <v>782</v>
      </c>
      <c r="I33" s="4" t="s">
        <v>879</v>
      </c>
      <c r="J33" t="s">
        <v>887</v>
      </c>
      <c r="K33" s="4" t="s">
        <v>888</v>
      </c>
      <c r="L33" s="12">
        <v>0.13</v>
      </c>
    </row>
    <row r="34" spans="1:12" ht="15.75" x14ac:dyDescent="0.25">
      <c r="A34" t="str">
        <f>LEFT(B34, FIND(" ",B34)-1)</f>
        <v>Bare</v>
      </c>
      <c r="B34" s="4" t="s">
        <v>471</v>
      </c>
      <c r="C34" s="4" t="s">
        <v>166</v>
      </c>
      <c r="D34" t="s">
        <v>837</v>
      </c>
      <c r="E34">
        <v>560034</v>
      </c>
      <c r="F34" t="s">
        <v>19</v>
      </c>
      <c r="G34" s="7" t="s">
        <v>565</v>
      </c>
      <c r="H34" s="10" t="s">
        <v>566</v>
      </c>
      <c r="I34" s="4" t="s">
        <v>853</v>
      </c>
      <c r="J34" t="s">
        <v>887</v>
      </c>
      <c r="K34" s="4" t="s">
        <v>889</v>
      </c>
      <c r="L34" s="12">
        <v>0.15</v>
      </c>
    </row>
    <row r="35" spans="1:12" ht="15.75" x14ac:dyDescent="0.25">
      <c r="A35" t="str">
        <f>LEFT(B35, FIND(" ",B35)-1)</f>
        <v>BBlunt</v>
      </c>
      <c r="B35" s="4" t="s">
        <v>402</v>
      </c>
      <c r="C35" s="4" t="s">
        <v>403</v>
      </c>
      <c r="D35" t="s">
        <v>837</v>
      </c>
      <c r="E35">
        <v>560034</v>
      </c>
      <c r="F35" t="s">
        <v>19</v>
      </c>
      <c r="G35" s="7" t="s">
        <v>728</v>
      </c>
      <c r="H35" s="10" t="s">
        <v>729</v>
      </c>
      <c r="I35" s="4" t="s">
        <v>853</v>
      </c>
      <c r="J35" t="s">
        <v>887</v>
      </c>
      <c r="K35" s="4" t="s">
        <v>888</v>
      </c>
      <c r="L35" s="12">
        <v>0.15</v>
      </c>
    </row>
    <row r="36" spans="1:12" x14ac:dyDescent="0.25">
      <c r="A36" t="s">
        <v>1013</v>
      </c>
      <c r="B36" t="s">
        <v>1014</v>
      </c>
      <c r="C36" t="s">
        <v>1019</v>
      </c>
      <c r="D36" t="s">
        <v>18</v>
      </c>
      <c r="E36">
        <v>560034</v>
      </c>
      <c r="F36" t="s">
        <v>19</v>
      </c>
      <c r="G36" s="6">
        <v>439</v>
      </c>
      <c r="H36" t="s">
        <v>649</v>
      </c>
      <c r="I36" t="s">
        <v>948</v>
      </c>
      <c r="J36" t="s">
        <v>887</v>
      </c>
      <c r="K36" t="s">
        <v>889</v>
      </c>
      <c r="L36" s="12">
        <v>0.12</v>
      </c>
    </row>
    <row r="37" spans="1:12" ht="15.75" x14ac:dyDescent="0.25">
      <c r="A37" t="str">
        <f>LEFT(B37, FIND(" ",B37)-1)</f>
        <v>Be</v>
      </c>
      <c r="B37" s="4" t="s">
        <v>353</v>
      </c>
      <c r="C37" s="4" t="s">
        <v>354</v>
      </c>
      <c r="D37" t="s">
        <v>837</v>
      </c>
      <c r="E37">
        <v>560034</v>
      </c>
      <c r="F37" t="s">
        <v>19</v>
      </c>
      <c r="G37" s="7" t="s">
        <v>657</v>
      </c>
      <c r="H37" s="10" t="s">
        <v>98</v>
      </c>
      <c r="I37" s="4" t="s">
        <v>98</v>
      </c>
      <c r="J37" t="s">
        <v>887</v>
      </c>
      <c r="K37" s="4" t="s">
        <v>889</v>
      </c>
      <c r="L37" t="s">
        <v>106</v>
      </c>
    </row>
    <row r="38" spans="1:12" ht="15.75" x14ac:dyDescent="0.25">
      <c r="A38" t="str">
        <f>LEFT(B38, FIND(" ",B38)-1)</f>
        <v>Be</v>
      </c>
      <c r="B38" s="4" t="s">
        <v>353</v>
      </c>
      <c r="C38" s="4" t="s">
        <v>222</v>
      </c>
      <c r="D38" t="s">
        <v>837</v>
      </c>
      <c r="E38">
        <v>560034</v>
      </c>
      <c r="F38" t="s">
        <v>19</v>
      </c>
      <c r="G38" s="7" t="s">
        <v>598</v>
      </c>
      <c r="H38" s="10" t="s">
        <v>599</v>
      </c>
      <c r="I38" s="4" t="s">
        <v>865</v>
      </c>
      <c r="J38" t="s">
        <v>887</v>
      </c>
      <c r="K38" s="4" t="s">
        <v>889</v>
      </c>
      <c r="L38" s="12">
        <v>0.52</v>
      </c>
    </row>
    <row r="39" spans="1:12" ht="15.75" x14ac:dyDescent="0.25">
      <c r="A39" t="str">
        <f>LEFT(B39, FIND(" ",B39)-1)</f>
        <v>Beardo</v>
      </c>
      <c r="B39" s="4" t="s">
        <v>259</v>
      </c>
      <c r="C39" s="4" t="s">
        <v>222</v>
      </c>
      <c r="D39" t="s">
        <v>837</v>
      </c>
      <c r="E39">
        <v>560034</v>
      </c>
      <c r="F39" t="s">
        <v>19</v>
      </c>
      <c r="G39" s="7" t="s">
        <v>538</v>
      </c>
      <c r="H39" s="10" t="s">
        <v>588</v>
      </c>
      <c r="I39" s="4" t="s">
        <v>847</v>
      </c>
      <c r="J39" t="s">
        <v>887</v>
      </c>
      <c r="K39" s="4" t="s">
        <v>889</v>
      </c>
      <c r="L39" s="12">
        <v>0.24</v>
      </c>
    </row>
    <row r="40" spans="1:12" ht="15.75" x14ac:dyDescent="0.25">
      <c r="A40" t="str">
        <f>LEFT(B40, FIND(" ",B40)-1)</f>
        <v>Beardo</v>
      </c>
      <c r="B40" s="4" t="s">
        <v>332</v>
      </c>
      <c r="C40" s="4" t="s">
        <v>240</v>
      </c>
      <c r="D40" t="s">
        <v>837</v>
      </c>
      <c r="E40">
        <v>560034</v>
      </c>
      <c r="F40" t="s">
        <v>19</v>
      </c>
      <c r="G40" s="7" t="s">
        <v>668</v>
      </c>
      <c r="H40" s="10" t="s">
        <v>566</v>
      </c>
      <c r="I40" s="4" t="s">
        <v>854</v>
      </c>
      <c r="J40" t="s">
        <v>887</v>
      </c>
      <c r="K40" s="4" t="s">
        <v>889</v>
      </c>
      <c r="L40" s="12">
        <v>0.2</v>
      </c>
    </row>
    <row r="41" spans="1:12" ht="15.75" x14ac:dyDescent="0.25">
      <c r="A41" t="str">
        <f>LEFT(B41, FIND(" ",B41)-1)</f>
        <v>Beardo</v>
      </c>
      <c r="B41" s="4" t="s">
        <v>259</v>
      </c>
      <c r="C41" s="4" t="s">
        <v>222</v>
      </c>
      <c r="D41" t="s">
        <v>837</v>
      </c>
      <c r="E41">
        <v>560034</v>
      </c>
      <c r="F41" t="s">
        <v>19</v>
      </c>
      <c r="G41" s="7" t="s">
        <v>532</v>
      </c>
      <c r="H41" s="10" t="s">
        <v>539</v>
      </c>
      <c r="I41" s="4" t="s">
        <v>840</v>
      </c>
      <c r="J41" t="s">
        <v>887</v>
      </c>
      <c r="K41" s="4" t="s">
        <v>889</v>
      </c>
      <c r="L41" s="12">
        <v>0.16</v>
      </c>
    </row>
    <row r="42" spans="1:12" ht="15.75" x14ac:dyDescent="0.25">
      <c r="A42" t="str">
        <f>LEFT(B42, FIND(" ",B42)-1)</f>
        <v>Biotique</v>
      </c>
      <c r="B42" s="4" t="s">
        <v>415</v>
      </c>
      <c r="C42" s="4" t="s">
        <v>248</v>
      </c>
      <c r="D42" t="s">
        <v>837</v>
      </c>
      <c r="E42">
        <v>560034</v>
      </c>
      <c r="F42" t="s">
        <v>19</v>
      </c>
      <c r="G42" s="7" t="s">
        <v>739</v>
      </c>
      <c r="H42" s="10" t="s">
        <v>740</v>
      </c>
      <c r="I42" s="4" t="s">
        <v>840</v>
      </c>
      <c r="J42" t="s">
        <v>887</v>
      </c>
      <c r="K42" s="4" t="s">
        <v>889</v>
      </c>
      <c r="L42" s="12">
        <v>0.16</v>
      </c>
    </row>
    <row r="43" spans="1:12" ht="15.75" x14ac:dyDescent="0.25">
      <c r="A43" t="str">
        <f>LEFT(B43, FIND(" ",B43)-1)</f>
        <v>Biotique</v>
      </c>
      <c r="B43" s="4" t="s">
        <v>460</v>
      </c>
      <c r="C43" s="4" t="s">
        <v>78</v>
      </c>
      <c r="D43" t="s">
        <v>837</v>
      </c>
      <c r="E43">
        <v>560034</v>
      </c>
      <c r="F43" t="s">
        <v>19</v>
      </c>
      <c r="G43" s="7" t="s">
        <v>777</v>
      </c>
      <c r="H43" s="10" t="s">
        <v>568</v>
      </c>
      <c r="I43" s="4" t="s">
        <v>848</v>
      </c>
      <c r="J43" t="s">
        <v>887</v>
      </c>
      <c r="K43" s="4" t="s">
        <v>889</v>
      </c>
      <c r="L43" s="12">
        <v>0.18</v>
      </c>
    </row>
    <row r="44" spans="1:12" ht="15.75" x14ac:dyDescent="0.25">
      <c r="A44" t="str">
        <f>LEFT(B44, FIND(" ",B44)-1)</f>
        <v>Bontress</v>
      </c>
      <c r="B44" s="4" t="s">
        <v>360</v>
      </c>
      <c r="C44" s="4" t="s">
        <v>240</v>
      </c>
      <c r="D44" t="s">
        <v>837</v>
      </c>
      <c r="E44">
        <v>560034</v>
      </c>
      <c r="F44" t="s">
        <v>19</v>
      </c>
      <c r="G44" s="7" t="s">
        <v>690</v>
      </c>
      <c r="H44" s="10" t="s">
        <v>620</v>
      </c>
      <c r="I44" s="4" t="s">
        <v>847</v>
      </c>
      <c r="J44" t="s">
        <v>887</v>
      </c>
      <c r="K44" s="4" t="s">
        <v>889</v>
      </c>
      <c r="L44" s="12">
        <v>0.24</v>
      </c>
    </row>
    <row r="45" spans="1:12" ht="15.75" x14ac:dyDescent="0.25">
      <c r="A45" t="str">
        <f>LEFT(B45, FIND(" ",B45)-1)</f>
        <v>Bontress</v>
      </c>
      <c r="B45" s="4" t="s">
        <v>360</v>
      </c>
      <c r="C45" s="4" t="s">
        <v>361</v>
      </c>
      <c r="D45" t="s">
        <v>837</v>
      </c>
      <c r="E45">
        <v>560034</v>
      </c>
      <c r="F45" t="s">
        <v>19</v>
      </c>
      <c r="G45" s="7" t="s">
        <v>691</v>
      </c>
      <c r="H45" s="10" t="s">
        <v>692</v>
      </c>
      <c r="I45" s="4" t="s">
        <v>862</v>
      </c>
      <c r="J45" t="s">
        <v>887</v>
      </c>
      <c r="K45" s="4" t="s">
        <v>888</v>
      </c>
      <c r="L45" s="12">
        <v>0.19</v>
      </c>
    </row>
    <row r="46" spans="1:12" ht="15.75" x14ac:dyDescent="0.25">
      <c r="A46" t="str">
        <f>LEFT(B46, FIND(" ",B46)-1)</f>
        <v>Bontress</v>
      </c>
      <c r="B46" s="4" t="s">
        <v>360</v>
      </c>
      <c r="C46" s="4" t="s">
        <v>240</v>
      </c>
      <c r="D46" t="s">
        <v>837</v>
      </c>
      <c r="E46">
        <v>560034</v>
      </c>
      <c r="F46" t="s">
        <v>19</v>
      </c>
      <c r="G46" s="7" t="s">
        <v>695</v>
      </c>
      <c r="H46" s="10" t="s">
        <v>544</v>
      </c>
      <c r="I46" s="4" t="s">
        <v>98</v>
      </c>
      <c r="J46" t="s">
        <v>887</v>
      </c>
      <c r="K46" s="4" t="s">
        <v>889</v>
      </c>
      <c r="L46" t="s">
        <v>106</v>
      </c>
    </row>
    <row r="47" spans="1:12" ht="15.75" x14ac:dyDescent="0.25">
      <c r="A47" t="str">
        <f>LEFT(B47, FIND(" ",B47)-1)</f>
        <v>Bontress</v>
      </c>
      <c r="B47" s="4" t="s">
        <v>360</v>
      </c>
      <c r="C47" s="4" t="s">
        <v>361</v>
      </c>
      <c r="D47" t="s">
        <v>837</v>
      </c>
      <c r="E47">
        <v>560034</v>
      </c>
      <c r="F47" t="s">
        <v>19</v>
      </c>
      <c r="G47" s="7" t="s">
        <v>691</v>
      </c>
      <c r="H47" s="10" t="s">
        <v>692</v>
      </c>
      <c r="I47" s="4" t="s">
        <v>862</v>
      </c>
      <c r="J47" t="s">
        <v>887</v>
      </c>
      <c r="K47" s="4" t="s">
        <v>888</v>
      </c>
      <c r="L47" s="12">
        <v>0.19</v>
      </c>
    </row>
    <row r="48" spans="1:12" ht="15.75" x14ac:dyDescent="0.25">
      <c r="A48" t="str">
        <f>LEFT(B48, FIND(" ",B48)-1)</f>
        <v>Brillare</v>
      </c>
      <c r="B48" s="4" t="s">
        <v>220</v>
      </c>
      <c r="C48" s="4" t="s">
        <v>83</v>
      </c>
      <c r="D48" t="s">
        <v>837</v>
      </c>
      <c r="E48">
        <v>560034</v>
      </c>
      <c r="F48" t="s">
        <v>19</v>
      </c>
      <c r="G48" s="7" t="s">
        <v>532</v>
      </c>
      <c r="H48" s="10" t="s">
        <v>539</v>
      </c>
      <c r="I48" s="4" t="s">
        <v>840</v>
      </c>
      <c r="J48" t="s">
        <v>887</v>
      </c>
      <c r="K48" s="4" t="s">
        <v>888</v>
      </c>
      <c r="L48" s="12">
        <v>0.16</v>
      </c>
    </row>
    <row r="49" spans="1:12" ht="15.75" x14ac:dyDescent="0.25">
      <c r="A49" t="str">
        <f>LEFT(B49, FIND(" ",B49)-1)</f>
        <v>Brillare</v>
      </c>
      <c r="B49" s="4" t="s">
        <v>241</v>
      </c>
      <c r="C49" s="4" t="s">
        <v>83</v>
      </c>
      <c r="D49" t="s">
        <v>837</v>
      </c>
      <c r="E49">
        <v>560034</v>
      </c>
      <c r="F49" t="s">
        <v>19</v>
      </c>
      <c r="G49" s="7" t="s">
        <v>532</v>
      </c>
      <c r="H49" s="10" t="s">
        <v>539</v>
      </c>
      <c r="I49" s="4" t="s">
        <v>840</v>
      </c>
      <c r="J49" t="s">
        <v>887</v>
      </c>
      <c r="K49" s="4" t="s">
        <v>891</v>
      </c>
      <c r="L49" s="12">
        <v>0.16</v>
      </c>
    </row>
    <row r="50" spans="1:12" ht="15.75" x14ac:dyDescent="0.25">
      <c r="A50" t="str">
        <f>LEFT(B50, FIND(" ",B50)-1)</f>
        <v>Brillare</v>
      </c>
      <c r="B50" s="4" t="s">
        <v>271</v>
      </c>
      <c r="C50" s="4" t="s">
        <v>272</v>
      </c>
      <c r="D50" t="s">
        <v>837</v>
      </c>
      <c r="E50">
        <v>560034</v>
      </c>
      <c r="F50" t="s">
        <v>19</v>
      </c>
      <c r="G50" s="7" t="s">
        <v>602</v>
      </c>
      <c r="H50" s="10" t="s">
        <v>603</v>
      </c>
      <c r="I50" s="4" t="s">
        <v>839</v>
      </c>
      <c r="J50" t="s">
        <v>887</v>
      </c>
      <c r="K50" s="4" t="s">
        <v>889</v>
      </c>
      <c r="L50" s="12">
        <v>0.09</v>
      </c>
    </row>
    <row r="51" spans="1:12" ht="15.75" x14ac:dyDescent="0.25">
      <c r="A51" t="str">
        <f>LEFT(B51, FIND(" ",B51)-1)</f>
        <v>Brillare</v>
      </c>
      <c r="B51" s="4" t="s">
        <v>241</v>
      </c>
      <c r="C51" s="4" t="s">
        <v>83</v>
      </c>
      <c r="D51" t="s">
        <v>837</v>
      </c>
      <c r="E51">
        <v>560034</v>
      </c>
      <c r="F51" t="s">
        <v>19</v>
      </c>
      <c r="G51" s="7" t="s">
        <v>698</v>
      </c>
      <c r="H51" s="10" t="s">
        <v>665</v>
      </c>
      <c r="I51" s="4" t="s">
        <v>98</v>
      </c>
      <c r="J51" t="s">
        <v>887</v>
      </c>
      <c r="K51" s="4" t="s">
        <v>888</v>
      </c>
      <c r="L51" t="s">
        <v>106</v>
      </c>
    </row>
    <row r="52" spans="1:12" ht="15.75" x14ac:dyDescent="0.25">
      <c r="A52" t="str">
        <f>LEFT(B52, FIND(" ",B52)-1)</f>
        <v>Brillare</v>
      </c>
      <c r="B52" s="4" t="s">
        <v>490</v>
      </c>
      <c r="C52" s="4" t="s">
        <v>45</v>
      </c>
      <c r="D52" t="s">
        <v>837</v>
      </c>
      <c r="E52">
        <v>560034</v>
      </c>
      <c r="F52" t="s">
        <v>19</v>
      </c>
      <c r="G52" s="7" t="s">
        <v>585</v>
      </c>
      <c r="H52" s="10" t="s">
        <v>649</v>
      </c>
      <c r="I52" s="4" t="s">
        <v>854</v>
      </c>
      <c r="J52" t="s">
        <v>887</v>
      </c>
      <c r="K52" s="4" t="s">
        <v>889</v>
      </c>
      <c r="L52" s="12">
        <v>0.2</v>
      </c>
    </row>
    <row r="53" spans="1:12" ht="15.75" x14ac:dyDescent="0.25">
      <c r="A53" t="str">
        <f>LEFT(B53, FIND(" ",B53)-1)</f>
        <v>Careberry</v>
      </c>
      <c r="B53" s="4" t="s">
        <v>273</v>
      </c>
      <c r="C53" s="4" t="s">
        <v>81</v>
      </c>
      <c r="D53" t="s">
        <v>837</v>
      </c>
      <c r="E53">
        <v>560034</v>
      </c>
      <c r="F53" t="s">
        <v>19</v>
      </c>
      <c r="G53" s="7" t="s">
        <v>604</v>
      </c>
      <c r="H53" s="10" t="s">
        <v>605</v>
      </c>
      <c r="I53" s="4" t="s">
        <v>841</v>
      </c>
      <c r="J53" t="s">
        <v>887</v>
      </c>
      <c r="K53" s="4" t="s">
        <v>888</v>
      </c>
      <c r="L53" s="12">
        <v>0.14000000000000001</v>
      </c>
    </row>
    <row r="54" spans="1:12" x14ac:dyDescent="0.25">
      <c r="A54" t="s">
        <v>968</v>
      </c>
      <c r="B54" t="s">
        <v>969</v>
      </c>
      <c r="C54" t="s">
        <v>933</v>
      </c>
      <c r="D54" t="s">
        <v>18</v>
      </c>
      <c r="E54">
        <v>560034</v>
      </c>
      <c r="F54" t="s">
        <v>19</v>
      </c>
      <c r="G54" s="6">
        <v>294</v>
      </c>
      <c r="H54" t="s">
        <v>976</v>
      </c>
      <c r="I54" t="s">
        <v>977</v>
      </c>
      <c r="J54" t="s">
        <v>887</v>
      </c>
      <c r="K54" t="s">
        <v>889</v>
      </c>
      <c r="L54" s="12">
        <v>0.55000000000000004</v>
      </c>
    </row>
    <row r="55" spans="1:12" ht="15.75" x14ac:dyDescent="0.25">
      <c r="A55" t="str">
        <f>LEFT(B55, FIND(" ",B55)-1)</f>
        <v>Clinic</v>
      </c>
      <c r="B55" s="4" t="s">
        <v>67</v>
      </c>
      <c r="C55" s="4" t="s">
        <v>51</v>
      </c>
      <c r="D55" t="s">
        <v>837</v>
      </c>
      <c r="E55">
        <v>560034</v>
      </c>
      <c r="F55" t="s">
        <v>19</v>
      </c>
      <c r="G55" s="7" t="s">
        <v>800</v>
      </c>
      <c r="H55" s="10" t="s">
        <v>801</v>
      </c>
      <c r="I55" s="4" t="s">
        <v>98</v>
      </c>
      <c r="J55" t="s">
        <v>887</v>
      </c>
      <c r="K55" s="4" t="s">
        <v>888</v>
      </c>
      <c r="L55" t="s">
        <v>106</v>
      </c>
    </row>
    <row r="56" spans="1:12" ht="15.75" x14ac:dyDescent="0.25">
      <c r="A56" t="str">
        <f>LEFT(B56, FIND(" ",B56)-1)</f>
        <v>Clinic</v>
      </c>
      <c r="B56" s="4" t="s">
        <v>507</v>
      </c>
      <c r="C56" s="4" t="s">
        <v>47</v>
      </c>
      <c r="D56" t="s">
        <v>837</v>
      </c>
      <c r="E56">
        <v>560034</v>
      </c>
      <c r="F56" t="s">
        <v>19</v>
      </c>
      <c r="G56" s="7" t="s">
        <v>823</v>
      </c>
      <c r="H56" s="10" t="s">
        <v>824</v>
      </c>
      <c r="I56" s="4" t="s">
        <v>866</v>
      </c>
      <c r="J56" t="s">
        <v>887</v>
      </c>
      <c r="K56" s="4" t="s">
        <v>891</v>
      </c>
      <c r="L56" s="12">
        <v>0.11</v>
      </c>
    </row>
    <row r="57" spans="1:12" x14ac:dyDescent="0.25">
      <c r="A57" t="s">
        <v>16</v>
      </c>
      <c r="B57" t="s">
        <v>912</v>
      </c>
      <c r="C57" t="s">
        <v>933</v>
      </c>
      <c r="D57" t="s">
        <v>18</v>
      </c>
      <c r="E57">
        <v>560034</v>
      </c>
      <c r="F57" t="s">
        <v>19</v>
      </c>
      <c r="G57" s="6">
        <v>427</v>
      </c>
      <c r="H57" t="s">
        <v>802</v>
      </c>
      <c r="I57" t="s">
        <v>959</v>
      </c>
      <c r="J57" t="s">
        <v>887</v>
      </c>
      <c r="K57" t="s">
        <v>889</v>
      </c>
      <c r="L57" s="12">
        <v>0.47</v>
      </c>
    </row>
    <row r="58" spans="1:12" x14ac:dyDescent="0.25">
      <c r="A58" t="s">
        <v>16</v>
      </c>
      <c r="B58" t="s">
        <v>912</v>
      </c>
      <c r="C58" t="s">
        <v>933</v>
      </c>
      <c r="D58" t="s">
        <v>18</v>
      </c>
      <c r="E58">
        <v>560034</v>
      </c>
      <c r="F58" t="s">
        <v>19</v>
      </c>
      <c r="G58" s="6">
        <v>427</v>
      </c>
      <c r="H58" t="s">
        <v>802</v>
      </c>
      <c r="I58" t="s">
        <v>959</v>
      </c>
      <c r="J58" t="s">
        <v>887</v>
      </c>
      <c r="K58" t="s">
        <v>888</v>
      </c>
      <c r="L58" s="12">
        <v>0.47</v>
      </c>
    </row>
    <row r="59" spans="1:12" ht="15.75" x14ac:dyDescent="0.25">
      <c r="A59" t="s">
        <v>201</v>
      </c>
      <c r="B59" s="4" t="s">
        <v>65</v>
      </c>
      <c r="C59" s="4" t="s">
        <v>77</v>
      </c>
      <c r="D59" t="s">
        <v>42</v>
      </c>
      <c r="E59">
        <v>560034</v>
      </c>
      <c r="F59" t="s">
        <v>19</v>
      </c>
      <c r="G59" s="6">
        <v>49</v>
      </c>
      <c r="H59" s="9" t="s">
        <v>106</v>
      </c>
      <c r="I59" s="3" t="s">
        <v>106</v>
      </c>
      <c r="J59" t="s">
        <v>887</v>
      </c>
      <c r="K59" s="4" t="s">
        <v>889</v>
      </c>
      <c r="L59" s="12" t="s">
        <v>885</v>
      </c>
    </row>
    <row r="60" spans="1:12" ht="15.75" x14ac:dyDescent="0.25">
      <c r="A60" t="s">
        <v>201</v>
      </c>
      <c r="B60" s="4" t="s">
        <v>66</v>
      </c>
      <c r="C60" s="4" t="s">
        <v>78</v>
      </c>
      <c r="D60" t="s">
        <v>42</v>
      </c>
      <c r="E60">
        <v>560034</v>
      </c>
      <c r="F60" t="s">
        <v>19</v>
      </c>
      <c r="G60" s="6">
        <v>254</v>
      </c>
      <c r="H60" s="9" t="s">
        <v>106</v>
      </c>
      <c r="I60" s="3" t="s">
        <v>106</v>
      </c>
      <c r="J60" t="s">
        <v>887</v>
      </c>
      <c r="K60" s="4" t="s">
        <v>889</v>
      </c>
      <c r="L60" s="12" t="s">
        <v>885</v>
      </c>
    </row>
    <row r="61" spans="1:12" ht="15.75" x14ac:dyDescent="0.25">
      <c r="A61" t="s">
        <v>201</v>
      </c>
      <c r="B61" s="4" t="s">
        <v>66</v>
      </c>
      <c r="C61" s="4" t="s">
        <v>51</v>
      </c>
      <c r="D61" t="s">
        <v>42</v>
      </c>
      <c r="E61">
        <v>560034</v>
      </c>
      <c r="F61" t="s">
        <v>19</v>
      </c>
      <c r="G61" s="6">
        <v>378</v>
      </c>
      <c r="H61" s="9" t="s">
        <v>106</v>
      </c>
      <c r="I61" s="3" t="s">
        <v>106</v>
      </c>
      <c r="J61" t="s">
        <v>887</v>
      </c>
      <c r="K61" s="4" t="s">
        <v>889</v>
      </c>
      <c r="L61" s="12" t="s">
        <v>885</v>
      </c>
    </row>
    <row r="62" spans="1:12" ht="15.75" x14ac:dyDescent="0.25">
      <c r="A62" t="s">
        <v>201</v>
      </c>
      <c r="B62" s="4" t="s">
        <v>67</v>
      </c>
      <c r="C62" s="4" t="s">
        <v>79</v>
      </c>
      <c r="D62" t="s">
        <v>42</v>
      </c>
      <c r="E62">
        <v>560034</v>
      </c>
      <c r="F62" t="s">
        <v>19</v>
      </c>
      <c r="G62" s="6">
        <v>274</v>
      </c>
      <c r="H62" s="9" t="s">
        <v>106</v>
      </c>
      <c r="I62" s="3" t="s">
        <v>106</v>
      </c>
      <c r="J62" t="s">
        <v>887</v>
      </c>
      <c r="K62" s="4" t="s">
        <v>889</v>
      </c>
      <c r="L62" s="12" t="s">
        <v>885</v>
      </c>
    </row>
    <row r="63" spans="1:12" ht="15.75" x14ac:dyDescent="0.25">
      <c r="A63" t="s">
        <v>201</v>
      </c>
      <c r="B63" s="4" t="s">
        <v>68</v>
      </c>
      <c r="C63" s="4" t="s">
        <v>78</v>
      </c>
      <c r="D63" t="s">
        <v>42</v>
      </c>
      <c r="E63">
        <v>560034</v>
      </c>
      <c r="F63" t="s">
        <v>19</v>
      </c>
      <c r="G63" s="6">
        <v>274</v>
      </c>
      <c r="H63" s="9" t="s">
        <v>106</v>
      </c>
      <c r="I63" s="3" t="s">
        <v>106</v>
      </c>
      <c r="J63" t="s">
        <v>887</v>
      </c>
      <c r="K63" s="4" t="s">
        <v>889</v>
      </c>
      <c r="L63" s="12" t="s">
        <v>885</v>
      </c>
    </row>
    <row r="64" spans="1:12" ht="15.75" x14ac:dyDescent="0.25">
      <c r="A64" t="s">
        <v>201</v>
      </c>
      <c r="B64" s="4" t="s">
        <v>69</v>
      </c>
      <c r="C64" s="4" t="s">
        <v>51</v>
      </c>
      <c r="D64" t="s">
        <v>42</v>
      </c>
      <c r="E64">
        <v>560034</v>
      </c>
      <c r="F64" t="s">
        <v>19</v>
      </c>
      <c r="G64" s="6">
        <v>642</v>
      </c>
      <c r="H64" s="9" t="s">
        <v>106</v>
      </c>
      <c r="I64" s="3" t="s">
        <v>106</v>
      </c>
      <c r="J64" t="s">
        <v>887</v>
      </c>
      <c r="K64" s="4" t="s">
        <v>889</v>
      </c>
      <c r="L64" s="12" t="s">
        <v>885</v>
      </c>
    </row>
    <row r="65" spans="1:12" ht="15.75" x14ac:dyDescent="0.25">
      <c r="A65" t="s">
        <v>213</v>
      </c>
      <c r="B65" t="s">
        <v>65</v>
      </c>
      <c r="C65" t="s">
        <v>47</v>
      </c>
      <c r="D65" t="s">
        <v>42</v>
      </c>
      <c r="E65">
        <v>560034</v>
      </c>
      <c r="F65" t="s">
        <v>19</v>
      </c>
      <c r="G65" s="6">
        <v>140</v>
      </c>
      <c r="H65" s="9" t="s">
        <v>106</v>
      </c>
      <c r="I65" s="3" t="s">
        <v>106</v>
      </c>
      <c r="J65" t="s">
        <v>887</v>
      </c>
      <c r="K65" s="4" t="s">
        <v>889</v>
      </c>
      <c r="L65" s="12" t="s">
        <v>885</v>
      </c>
    </row>
    <row r="66" spans="1:12" ht="15.75" x14ac:dyDescent="0.25">
      <c r="A66" t="s">
        <v>213</v>
      </c>
      <c r="B66" t="s">
        <v>84</v>
      </c>
      <c r="C66" t="s">
        <v>47</v>
      </c>
      <c r="D66" t="s">
        <v>42</v>
      </c>
      <c r="E66">
        <v>560034</v>
      </c>
      <c r="F66" t="s">
        <v>19</v>
      </c>
      <c r="G66" s="6">
        <v>179</v>
      </c>
      <c r="H66" s="9">
        <v>340</v>
      </c>
      <c r="I66" t="s">
        <v>99</v>
      </c>
      <c r="J66" t="s">
        <v>887</v>
      </c>
      <c r="K66" s="4" t="s">
        <v>889</v>
      </c>
      <c r="L66" s="12">
        <v>0.25</v>
      </c>
    </row>
    <row r="67" spans="1:12" ht="15.75" x14ac:dyDescent="0.25">
      <c r="A67" t="s">
        <v>213</v>
      </c>
      <c r="B67" t="s">
        <v>85</v>
      </c>
      <c r="C67" t="s">
        <v>79</v>
      </c>
      <c r="D67" t="s">
        <v>42</v>
      </c>
      <c r="E67">
        <v>560034</v>
      </c>
      <c r="F67" t="s">
        <v>19</v>
      </c>
      <c r="G67" s="6">
        <v>295</v>
      </c>
      <c r="H67" s="9">
        <v>760</v>
      </c>
      <c r="I67" t="s">
        <v>100</v>
      </c>
      <c r="J67" t="s">
        <v>887</v>
      </c>
      <c r="K67" s="4" t="s">
        <v>889</v>
      </c>
      <c r="L67" s="12">
        <v>0.5</v>
      </c>
    </row>
    <row r="68" spans="1:12" ht="15.75" x14ac:dyDescent="0.25">
      <c r="A68" t="s">
        <v>213</v>
      </c>
      <c r="B68" t="s">
        <v>69</v>
      </c>
      <c r="C68" t="s">
        <v>79</v>
      </c>
      <c r="D68" t="s">
        <v>42</v>
      </c>
      <c r="E68">
        <v>560034</v>
      </c>
      <c r="F68" t="s">
        <v>19</v>
      </c>
      <c r="G68" s="6">
        <v>324</v>
      </c>
      <c r="H68" s="9">
        <v>365</v>
      </c>
      <c r="I68" t="s">
        <v>101</v>
      </c>
      <c r="J68" t="s">
        <v>887</v>
      </c>
      <c r="K68" s="4" t="s">
        <v>889</v>
      </c>
      <c r="L68" s="12">
        <v>0.24</v>
      </c>
    </row>
    <row r="69" spans="1:12" ht="15.75" x14ac:dyDescent="0.25">
      <c r="A69" t="s">
        <v>213</v>
      </c>
      <c r="B69" t="s">
        <v>86</v>
      </c>
      <c r="C69" t="s">
        <v>51</v>
      </c>
      <c r="D69" t="s">
        <v>42</v>
      </c>
      <c r="E69">
        <v>560034</v>
      </c>
      <c r="F69" t="s">
        <v>19</v>
      </c>
      <c r="G69" s="6">
        <v>479</v>
      </c>
      <c r="H69" s="9">
        <v>365</v>
      </c>
      <c r="I69" t="s">
        <v>101</v>
      </c>
      <c r="J69" t="s">
        <v>887</v>
      </c>
      <c r="K69" s="4" t="s">
        <v>888</v>
      </c>
      <c r="L69" s="12">
        <v>0.24</v>
      </c>
    </row>
    <row r="70" spans="1:12" ht="15.75" x14ac:dyDescent="0.25">
      <c r="A70" t="str">
        <f>LEFT(B70, FIND(" ",B70)-1)</f>
        <v>Coco</v>
      </c>
      <c r="B70" s="4" t="s">
        <v>233</v>
      </c>
      <c r="C70" s="4" t="s">
        <v>234</v>
      </c>
      <c r="D70" t="s">
        <v>837</v>
      </c>
      <c r="E70">
        <v>560034</v>
      </c>
      <c r="F70" t="s">
        <v>19</v>
      </c>
      <c r="G70" s="7" t="s">
        <v>557</v>
      </c>
      <c r="H70" s="10" t="s">
        <v>558</v>
      </c>
      <c r="I70" s="4" t="s">
        <v>98</v>
      </c>
      <c r="J70" t="s">
        <v>887</v>
      </c>
      <c r="K70" s="4" t="s">
        <v>889</v>
      </c>
      <c r="L70" t="s">
        <v>106</v>
      </c>
    </row>
    <row r="71" spans="1:12" ht="15.75" x14ac:dyDescent="0.25">
      <c r="A71" t="str">
        <f>LEFT(B71, FIND(" ",B71)-1)</f>
        <v>Coco</v>
      </c>
      <c r="B71" s="4" t="s">
        <v>260</v>
      </c>
      <c r="C71" s="4" t="s">
        <v>222</v>
      </c>
      <c r="D71" t="s">
        <v>837</v>
      </c>
      <c r="E71">
        <v>560034</v>
      </c>
      <c r="F71" t="s">
        <v>19</v>
      </c>
      <c r="G71" s="7" t="s">
        <v>551</v>
      </c>
      <c r="H71" s="10" t="s">
        <v>588</v>
      </c>
      <c r="I71" s="4" t="s">
        <v>851</v>
      </c>
      <c r="J71" t="s">
        <v>887</v>
      </c>
      <c r="K71" s="4" t="s">
        <v>888</v>
      </c>
      <c r="L71" s="12">
        <v>0.23</v>
      </c>
    </row>
    <row r="72" spans="1:12" ht="15.75" x14ac:dyDescent="0.25">
      <c r="A72" t="str">
        <f>LEFT(B72, FIND(" ",B72)-1)</f>
        <v>Coco</v>
      </c>
      <c r="B72" s="4" t="s">
        <v>290</v>
      </c>
      <c r="C72" s="4" t="s">
        <v>166</v>
      </c>
      <c r="D72" t="s">
        <v>837</v>
      </c>
      <c r="E72">
        <v>560034</v>
      </c>
      <c r="F72" t="s">
        <v>19</v>
      </c>
      <c r="G72" s="7" t="s">
        <v>620</v>
      </c>
      <c r="H72" s="10" t="s">
        <v>549</v>
      </c>
      <c r="I72" s="4" t="s">
        <v>840</v>
      </c>
      <c r="J72" t="s">
        <v>887</v>
      </c>
      <c r="K72" s="4" t="s">
        <v>889</v>
      </c>
      <c r="L72" s="12">
        <v>0.16</v>
      </c>
    </row>
    <row r="73" spans="1:12" ht="15.75" x14ac:dyDescent="0.25">
      <c r="A73" t="str">
        <f>LEFT(B73, FIND(" ",B73)-1)</f>
        <v>Coco</v>
      </c>
      <c r="B73" s="4" t="s">
        <v>508</v>
      </c>
      <c r="C73" s="4" t="s">
        <v>222</v>
      </c>
      <c r="D73" t="s">
        <v>837</v>
      </c>
      <c r="E73">
        <v>560034</v>
      </c>
      <c r="F73" t="s">
        <v>19</v>
      </c>
      <c r="G73" s="7" t="s">
        <v>547</v>
      </c>
      <c r="H73" s="10" t="s">
        <v>98</v>
      </c>
      <c r="I73" s="4" t="s">
        <v>98</v>
      </c>
      <c r="J73" t="s">
        <v>887</v>
      </c>
      <c r="K73" s="4" t="s">
        <v>889</v>
      </c>
      <c r="L73" t="s">
        <v>106</v>
      </c>
    </row>
    <row r="74" spans="1:12" ht="15.75" x14ac:dyDescent="0.25">
      <c r="A74" t="str">
        <f>LEFT(B74, FIND(" ",B74)-1)</f>
        <v>Conscious</v>
      </c>
      <c r="B74" s="4" t="s">
        <v>341</v>
      </c>
      <c r="C74" s="4" t="s">
        <v>234</v>
      </c>
      <c r="D74" t="s">
        <v>837</v>
      </c>
      <c r="E74">
        <v>560034</v>
      </c>
      <c r="F74" t="s">
        <v>19</v>
      </c>
      <c r="G74" s="7" t="s">
        <v>675</v>
      </c>
      <c r="H74" s="10" t="s">
        <v>676</v>
      </c>
      <c r="I74" s="4" t="s">
        <v>848</v>
      </c>
      <c r="J74" t="s">
        <v>887</v>
      </c>
      <c r="K74" s="4" t="s">
        <v>888</v>
      </c>
      <c r="L74" s="12">
        <v>0.18</v>
      </c>
    </row>
    <row r="75" spans="1:12" ht="15.75" x14ac:dyDescent="0.25">
      <c r="A75" t="str">
        <f>LEFT(B75, FIND(" ",B75)-1)</f>
        <v>Conscious</v>
      </c>
      <c r="B75" s="4" t="s">
        <v>351</v>
      </c>
      <c r="C75" s="4" t="s">
        <v>234</v>
      </c>
      <c r="D75" t="s">
        <v>837</v>
      </c>
      <c r="E75">
        <v>560034</v>
      </c>
      <c r="F75" t="s">
        <v>19</v>
      </c>
      <c r="G75" s="7" t="s">
        <v>685</v>
      </c>
      <c r="H75" s="10" t="s">
        <v>686</v>
      </c>
      <c r="I75" s="4" t="s">
        <v>860</v>
      </c>
      <c r="J75" t="s">
        <v>887</v>
      </c>
      <c r="K75" s="4" t="s">
        <v>888</v>
      </c>
      <c r="L75" s="12">
        <v>0.3</v>
      </c>
    </row>
    <row r="76" spans="1:12" ht="15.75" x14ac:dyDescent="0.25">
      <c r="A76" t="str">
        <f>LEFT(B76, FIND(" ",B76)-1)</f>
        <v>Curl</v>
      </c>
      <c r="B76" s="4" t="s">
        <v>509</v>
      </c>
      <c r="C76" s="4" t="s">
        <v>81</v>
      </c>
      <c r="D76" t="s">
        <v>837</v>
      </c>
      <c r="E76">
        <v>560034</v>
      </c>
      <c r="F76" t="s">
        <v>19</v>
      </c>
      <c r="G76" s="7" t="s">
        <v>539</v>
      </c>
      <c r="H76" s="10" t="s">
        <v>825</v>
      </c>
      <c r="I76" s="4" t="s">
        <v>874</v>
      </c>
      <c r="J76" t="s">
        <v>887</v>
      </c>
      <c r="K76" s="4" t="s">
        <v>888</v>
      </c>
      <c r="L76" s="12">
        <v>0.28999999999999998</v>
      </c>
    </row>
    <row r="77" spans="1:12" ht="15.75" x14ac:dyDescent="0.25">
      <c r="A77" t="str">
        <f>LEFT(B77, FIND(" ",B77)-1)</f>
        <v>Curl</v>
      </c>
      <c r="B77" s="4" t="s">
        <v>510</v>
      </c>
      <c r="C77" s="4" t="s">
        <v>511</v>
      </c>
      <c r="D77" t="s">
        <v>837</v>
      </c>
      <c r="E77">
        <v>560034</v>
      </c>
      <c r="F77" t="s">
        <v>19</v>
      </c>
      <c r="G77" s="7" t="s">
        <v>716</v>
      </c>
      <c r="H77" s="10" t="s">
        <v>660</v>
      </c>
      <c r="I77" s="4" t="s">
        <v>843</v>
      </c>
      <c r="J77" t="s">
        <v>887</v>
      </c>
      <c r="K77" s="4" t="s">
        <v>888</v>
      </c>
      <c r="L77" s="12">
        <v>0.06</v>
      </c>
    </row>
    <row r="78" spans="1:12" ht="15.75" x14ac:dyDescent="0.25">
      <c r="A78" s="4" t="s">
        <v>1035</v>
      </c>
      <c r="B78" s="4" t="s">
        <v>1036</v>
      </c>
      <c r="C78" s="4" t="s">
        <v>1038</v>
      </c>
      <c r="D78" t="s">
        <v>18</v>
      </c>
      <c r="E78">
        <v>560034</v>
      </c>
      <c r="F78" t="s">
        <v>19</v>
      </c>
      <c r="G78" s="7">
        <v>637</v>
      </c>
      <c r="H78" s="4" t="s">
        <v>655</v>
      </c>
      <c r="I78" s="4" t="s">
        <v>964</v>
      </c>
      <c r="J78" t="s">
        <v>887</v>
      </c>
      <c r="K78" t="s">
        <v>889</v>
      </c>
      <c r="L78" s="12">
        <v>0.15</v>
      </c>
    </row>
    <row r="79" spans="1:12" ht="15.75" x14ac:dyDescent="0.25">
      <c r="A79" t="s">
        <v>202</v>
      </c>
      <c r="B79" t="s">
        <v>87</v>
      </c>
      <c r="C79" t="s">
        <v>78</v>
      </c>
      <c r="D79" t="s">
        <v>42</v>
      </c>
      <c r="E79">
        <v>560034</v>
      </c>
      <c r="F79" t="s">
        <v>19</v>
      </c>
      <c r="G79" s="6">
        <v>143</v>
      </c>
      <c r="H79" s="9">
        <v>287</v>
      </c>
      <c r="I79" t="s">
        <v>100</v>
      </c>
      <c r="J79" t="s">
        <v>887</v>
      </c>
      <c r="K79" s="4" t="s">
        <v>888</v>
      </c>
      <c r="L79" s="12">
        <v>0.5</v>
      </c>
    </row>
    <row r="80" spans="1:12" ht="15.75" x14ac:dyDescent="0.25">
      <c r="A80" t="s">
        <v>202</v>
      </c>
      <c r="B80" t="s">
        <v>89</v>
      </c>
      <c r="C80" t="s">
        <v>78</v>
      </c>
      <c r="D80" t="s">
        <v>42</v>
      </c>
      <c r="E80">
        <v>560034</v>
      </c>
      <c r="F80" t="s">
        <v>19</v>
      </c>
      <c r="G80" s="6">
        <v>143</v>
      </c>
      <c r="H80" s="9">
        <v>287</v>
      </c>
      <c r="I80" t="s">
        <v>100</v>
      </c>
      <c r="J80" t="s">
        <v>887</v>
      </c>
      <c r="K80" s="4" t="s">
        <v>889</v>
      </c>
      <c r="L80" s="12">
        <v>0.5</v>
      </c>
    </row>
    <row r="81" spans="1:12" ht="15.75" x14ac:dyDescent="0.25">
      <c r="A81" t="s">
        <v>202</v>
      </c>
      <c r="B81" t="s">
        <v>91</v>
      </c>
      <c r="C81" t="s">
        <v>95</v>
      </c>
      <c r="D81" t="s">
        <v>42</v>
      </c>
      <c r="E81">
        <v>560034</v>
      </c>
      <c r="F81" t="s">
        <v>19</v>
      </c>
      <c r="G81" s="6">
        <v>331</v>
      </c>
      <c r="H81" s="9">
        <v>662</v>
      </c>
      <c r="I81" t="s">
        <v>100</v>
      </c>
      <c r="J81" t="s">
        <v>887</v>
      </c>
      <c r="K81" s="4" t="s">
        <v>889</v>
      </c>
      <c r="L81" s="12">
        <v>0.5</v>
      </c>
    </row>
    <row r="82" spans="1:12" ht="15.75" x14ac:dyDescent="0.25">
      <c r="A82" t="str">
        <f>LEFT(B82, FIND(" ",B82)-1)</f>
        <v>Dabur</v>
      </c>
      <c r="B82" s="4" t="s">
        <v>229</v>
      </c>
      <c r="C82" s="4" t="s">
        <v>81</v>
      </c>
      <c r="D82" t="s">
        <v>837</v>
      </c>
      <c r="E82">
        <v>560034</v>
      </c>
      <c r="F82" t="s">
        <v>19</v>
      </c>
      <c r="G82" s="7" t="s">
        <v>551</v>
      </c>
      <c r="H82" s="10" t="s">
        <v>549</v>
      </c>
      <c r="I82" s="4" t="s">
        <v>847</v>
      </c>
      <c r="J82" t="s">
        <v>887</v>
      </c>
      <c r="K82" s="4" t="s">
        <v>889</v>
      </c>
      <c r="L82" s="12">
        <v>0.24</v>
      </c>
    </row>
    <row r="83" spans="1:12" ht="15.75" x14ac:dyDescent="0.25">
      <c r="A83" t="str">
        <f>LEFT(B83, FIND(" ",B83)-1)</f>
        <v>Dabur</v>
      </c>
      <c r="B83" s="4" t="s">
        <v>235</v>
      </c>
      <c r="C83" s="4" t="s">
        <v>83</v>
      </c>
      <c r="D83" t="s">
        <v>837</v>
      </c>
      <c r="E83">
        <v>560034</v>
      </c>
      <c r="F83" t="s">
        <v>19</v>
      </c>
      <c r="G83" s="7" t="s">
        <v>559</v>
      </c>
      <c r="H83" s="10" t="s">
        <v>560</v>
      </c>
      <c r="I83" s="4" t="s">
        <v>850</v>
      </c>
      <c r="J83" t="s">
        <v>887</v>
      </c>
      <c r="K83" s="4" t="s">
        <v>889</v>
      </c>
      <c r="L83" s="12">
        <v>0.55000000000000004</v>
      </c>
    </row>
    <row r="84" spans="1:12" ht="15.75" x14ac:dyDescent="0.25">
      <c r="A84" t="str">
        <f>LEFT(B84, FIND(" ",B84)-1)</f>
        <v>Dabur</v>
      </c>
      <c r="B84" s="4" t="s">
        <v>251</v>
      </c>
      <c r="C84" s="4" t="s">
        <v>252</v>
      </c>
      <c r="D84" t="s">
        <v>837</v>
      </c>
      <c r="E84">
        <v>560034</v>
      </c>
      <c r="F84" t="s">
        <v>19</v>
      </c>
      <c r="G84" s="7" t="s">
        <v>579</v>
      </c>
      <c r="H84" s="10" t="s">
        <v>580</v>
      </c>
      <c r="I84" s="4" t="s">
        <v>858</v>
      </c>
      <c r="J84" t="s">
        <v>887</v>
      </c>
      <c r="K84" s="4" t="s">
        <v>889</v>
      </c>
      <c r="L84" s="12">
        <v>0.51</v>
      </c>
    </row>
    <row r="85" spans="1:12" ht="15.75" x14ac:dyDescent="0.25">
      <c r="A85" t="str">
        <f>LEFT(B85, FIND(" ",B85)-1)</f>
        <v>Dabur</v>
      </c>
      <c r="B85" s="4" t="s">
        <v>261</v>
      </c>
      <c r="C85" s="4" t="s">
        <v>262</v>
      </c>
      <c r="D85" t="s">
        <v>837</v>
      </c>
      <c r="E85">
        <v>560034</v>
      </c>
      <c r="F85" t="s">
        <v>19</v>
      </c>
      <c r="G85" s="7" t="s">
        <v>589</v>
      </c>
      <c r="H85" s="10" t="s">
        <v>590</v>
      </c>
      <c r="I85" s="4" t="s">
        <v>862</v>
      </c>
      <c r="J85" t="s">
        <v>887</v>
      </c>
      <c r="K85" s="4" t="s">
        <v>888</v>
      </c>
      <c r="L85" s="12">
        <v>0.19</v>
      </c>
    </row>
    <row r="86" spans="1:12" ht="15.75" x14ac:dyDescent="0.25">
      <c r="A86" t="str">
        <f>LEFT(B86, FIND(" ",B86)-1)</f>
        <v>Dabur</v>
      </c>
      <c r="B86" s="4" t="s">
        <v>261</v>
      </c>
      <c r="C86" s="4" t="s">
        <v>267</v>
      </c>
      <c r="D86" t="s">
        <v>837</v>
      </c>
      <c r="E86">
        <v>560034</v>
      </c>
      <c r="F86" t="s">
        <v>19</v>
      </c>
      <c r="G86" s="7" t="s">
        <v>598</v>
      </c>
      <c r="H86" s="10" t="s">
        <v>599</v>
      </c>
      <c r="I86" s="4" t="s">
        <v>865</v>
      </c>
      <c r="J86" t="s">
        <v>887</v>
      </c>
      <c r="K86" s="4" t="s">
        <v>889</v>
      </c>
      <c r="L86" s="12">
        <v>0.52</v>
      </c>
    </row>
    <row r="87" spans="1:12" ht="15.75" x14ac:dyDescent="0.25">
      <c r="A87" t="str">
        <f>LEFT(B87, FIND(" ",B87)-1)</f>
        <v>Dabur</v>
      </c>
      <c r="B87" s="4" t="s">
        <v>292</v>
      </c>
      <c r="C87" s="4" t="s">
        <v>48</v>
      </c>
      <c r="D87" t="s">
        <v>837</v>
      </c>
      <c r="E87">
        <v>560034</v>
      </c>
      <c r="F87" t="s">
        <v>19</v>
      </c>
      <c r="G87" s="7" t="s">
        <v>631</v>
      </c>
      <c r="H87" s="10" t="s">
        <v>632</v>
      </c>
      <c r="I87" s="4" t="s">
        <v>839</v>
      </c>
      <c r="J87" t="s">
        <v>887</v>
      </c>
      <c r="K87" s="4" t="s">
        <v>889</v>
      </c>
      <c r="L87" s="12">
        <v>0.09</v>
      </c>
    </row>
    <row r="88" spans="1:12" ht="15.75" x14ac:dyDescent="0.25">
      <c r="A88" t="str">
        <f>LEFT(B88, FIND(" ",B88)-1)</f>
        <v>Dabur</v>
      </c>
      <c r="B88" s="4" t="s">
        <v>309</v>
      </c>
      <c r="C88" s="4" t="s">
        <v>310</v>
      </c>
      <c r="D88" t="s">
        <v>837</v>
      </c>
      <c r="E88">
        <v>560034</v>
      </c>
      <c r="F88" t="s">
        <v>19</v>
      </c>
      <c r="G88" s="7" t="s">
        <v>624</v>
      </c>
      <c r="H88" s="10" t="s">
        <v>644</v>
      </c>
      <c r="I88" s="4" t="s">
        <v>874</v>
      </c>
      <c r="J88" t="s">
        <v>887</v>
      </c>
      <c r="K88" s="4" t="s">
        <v>889</v>
      </c>
      <c r="L88" s="12">
        <v>0.28999999999999998</v>
      </c>
    </row>
    <row r="89" spans="1:12" ht="15.75" x14ac:dyDescent="0.25">
      <c r="A89" t="str">
        <f>LEFT(B89, FIND(" ",B89)-1)</f>
        <v>Dabur</v>
      </c>
      <c r="B89" s="4" t="s">
        <v>313</v>
      </c>
      <c r="C89" s="4" t="s">
        <v>267</v>
      </c>
      <c r="D89" t="s">
        <v>837</v>
      </c>
      <c r="E89">
        <v>560034</v>
      </c>
      <c r="F89" t="s">
        <v>19</v>
      </c>
      <c r="G89" s="7" t="s">
        <v>646</v>
      </c>
      <c r="H89" s="10" t="s">
        <v>647</v>
      </c>
      <c r="I89" s="4" t="s">
        <v>852</v>
      </c>
      <c r="J89" t="s">
        <v>887</v>
      </c>
      <c r="K89" s="4" t="s">
        <v>889</v>
      </c>
      <c r="L89" s="12">
        <v>0.4</v>
      </c>
    </row>
    <row r="90" spans="1:12" ht="15.75" x14ac:dyDescent="0.25">
      <c r="A90" t="str">
        <f>LEFT(B90, FIND(" ",B90)-1)</f>
        <v>Dabur</v>
      </c>
      <c r="B90" s="4" t="s">
        <v>318</v>
      </c>
      <c r="C90" s="4" t="s">
        <v>267</v>
      </c>
      <c r="D90" t="s">
        <v>837</v>
      </c>
      <c r="E90">
        <v>560034</v>
      </c>
      <c r="F90" t="s">
        <v>19</v>
      </c>
      <c r="G90" s="7" t="s">
        <v>583</v>
      </c>
      <c r="H90" s="10" t="s">
        <v>578</v>
      </c>
      <c r="I90" s="4" t="s">
        <v>852</v>
      </c>
      <c r="J90" t="s">
        <v>887</v>
      </c>
      <c r="K90" s="4" t="s">
        <v>889</v>
      </c>
      <c r="L90" s="12">
        <v>0.4</v>
      </c>
    </row>
    <row r="91" spans="1:12" ht="15.75" x14ac:dyDescent="0.25">
      <c r="A91" t="str">
        <f>LEFT(B91, FIND(" ",B91)-1)</f>
        <v>Dabur</v>
      </c>
      <c r="B91" s="4" t="s">
        <v>346</v>
      </c>
      <c r="C91" s="4" t="s">
        <v>83</v>
      </c>
      <c r="D91" t="s">
        <v>837</v>
      </c>
      <c r="E91">
        <v>560034</v>
      </c>
      <c r="F91" t="s">
        <v>19</v>
      </c>
      <c r="G91" s="7" t="s">
        <v>678</v>
      </c>
      <c r="H91" s="10" t="s">
        <v>566</v>
      </c>
      <c r="I91" s="4" t="s">
        <v>876</v>
      </c>
      <c r="J91" t="s">
        <v>887</v>
      </c>
      <c r="K91" s="4" t="s">
        <v>889</v>
      </c>
      <c r="L91" s="12">
        <v>0.21</v>
      </c>
    </row>
    <row r="92" spans="1:12" ht="15.75" x14ac:dyDescent="0.25">
      <c r="A92" t="str">
        <f>LEFT(B92, FIND(" ",B92)-1)</f>
        <v>Dabur</v>
      </c>
      <c r="B92" s="4" t="s">
        <v>235</v>
      </c>
      <c r="C92" s="4" t="s">
        <v>83</v>
      </c>
      <c r="D92" t="s">
        <v>837</v>
      </c>
      <c r="E92">
        <v>560034</v>
      </c>
      <c r="F92" t="s">
        <v>19</v>
      </c>
      <c r="G92" s="7" t="s">
        <v>696</v>
      </c>
      <c r="H92" s="10" t="s">
        <v>537</v>
      </c>
      <c r="I92" s="4" t="s">
        <v>854</v>
      </c>
      <c r="J92" t="s">
        <v>887</v>
      </c>
      <c r="K92" s="4" t="s">
        <v>889</v>
      </c>
      <c r="L92" s="12">
        <v>0.2</v>
      </c>
    </row>
    <row r="93" spans="1:12" ht="15.75" x14ac:dyDescent="0.25">
      <c r="A93" t="str">
        <f>LEFT(B93, FIND(" ",B93)-1)</f>
        <v>Dabur</v>
      </c>
      <c r="B93" s="4" t="s">
        <v>251</v>
      </c>
      <c r="C93" s="4" t="s">
        <v>252</v>
      </c>
      <c r="D93" t="s">
        <v>837</v>
      </c>
      <c r="E93">
        <v>560034</v>
      </c>
      <c r="F93" t="s">
        <v>19</v>
      </c>
      <c r="G93" s="7" t="s">
        <v>703</v>
      </c>
      <c r="H93" s="10" t="s">
        <v>704</v>
      </c>
      <c r="I93" s="4" t="s">
        <v>98</v>
      </c>
      <c r="J93" t="s">
        <v>887</v>
      </c>
      <c r="K93" s="4" t="s">
        <v>889</v>
      </c>
      <c r="L93" t="s">
        <v>106</v>
      </c>
    </row>
    <row r="94" spans="1:12" ht="15.75" x14ac:dyDescent="0.25">
      <c r="A94" t="str">
        <f>LEFT(B94, FIND(" ",B94)-1)</f>
        <v>Dabur</v>
      </c>
      <c r="B94" s="4" t="s">
        <v>229</v>
      </c>
      <c r="C94" s="4" t="s">
        <v>81</v>
      </c>
      <c r="D94" t="s">
        <v>837</v>
      </c>
      <c r="E94">
        <v>560034</v>
      </c>
      <c r="F94" t="s">
        <v>19</v>
      </c>
      <c r="G94" s="7" t="s">
        <v>718</v>
      </c>
      <c r="H94" s="10" t="s">
        <v>613</v>
      </c>
      <c r="I94" s="4" t="s">
        <v>838</v>
      </c>
      <c r="J94" t="s">
        <v>887</v>
      </c>
      <c r="K94" s="4" t="s">
        <v>889</v>
      </c>
      <c r="L94" s="12">
        <v>0.12</v>
      </c>
    </row>
    <row r="95" spans="1:12" ht="15.75" x14ac:dyDescent="0.25">
      <c r="A95" t="str">
        <f>LEFT(B95, FIND(" ",B95)-1)</f>
        <v>Dabur</v>
      </c>
      <c r="B95" s="4" t="s">
        <v>261</v>
      </c>
      <c r="C95" s="4" t="s">
        <v>267</v>
      </c>
      <c r="D95" t="s">
        <v>837</v>
      </c>
      <c r="E95">
        <v>560034</v>
      </c>
      <c r="F95" t="s">
        <v>19</v>
      </c>
      <c r="G95" s="7" t="s">
        <v>721</v>
      </c>
      <c r="H95" s="10" t="s">
        <v>657</v>
      </c>
      <c r="I95" s="4" t="s">
        <v>880</v>
      </c>
      <c r="J95" t="s">
        <v>887</v>
      </c>
      <c r="K95" s="4" t="s">
        <v>889</v>
      </c>
      <c r="L95" s="12">
        <v>0.45</v>
      </c>
    </row>
    <row r="96" spans="1:12" ht="15.75" x14ac:dyDescent="0.25">
      <c r="A96" t="str">
        <f>LEFT(B96, FIND(" ",B96)-1)</f>
        <v>Dabur</v>
      </c>
      <c r="B96" s="4" t="s">
        <v>491</v>
      </c>
      <c r="C96" s="4" t="s">
        <v>78</v>
      </c>
      <c r="D96" t="s">
        <v>837</v>
      </c>
      <c r="E96">
        <v>560034</v>
      </c>
      <c r="F96" t="s">
        <v>19</v>
      </c>
      <c r="G96" s="7" t="s">
        <v>714</v>
      </c>
      <c r="H96" s="10" t="s">
        <v>802</v>
      </c>
      <c r="I96" s="4" t="s">
        <v>880</v>
      </c>
      <c r="J96" t="s">
        <v>887</v>
      </c>
      <c r="K96" s="4" t="s">
        <v>888</v>
      </c>
      <c r="L96" s="12">
        <v>0.45</v>
      </c>
    </row>
    <row r="97" spans="1:12" ht="15.75" x14ac:dyDescent="0.25">
      <c r="A97" t="str">
        <f>LEFT(B97, FIND(" ",B97)-1)</f>
        <v>Dabur</v>
      </c>
      <c r="B97" s="4" t="s">
        <v>512</v>
      </c>
      <c r="C97" s="4" t="s">
        <v>78</v>
      </c>
      <c r="D97" t="s">
        <v>837</v>
      </c>
      <c r="E97">
        <v>560034</v>
      </c>
      <c r="F97" t="s">
        <v>19</v>
      </c>
      <c r="G97" s="7" t="s">
        <v>826</v>
      </c>
      <c r="H97" s="10" t="s">
        <v>827</v>
      </c>
      <c r="I97" s="4" t="s">
        <v>854</v>
      </c>
      <c r="J97" t="s">
        <v>887</v>
      </c>
      <c r="K97" s="4" t="s">
        <v>888</v>
      </c>
      <c r="L97" s="12">
        <v>0.2</v>
      </c>
    </row>
    <row r="98" spans="1:12" ht="15.75" x14ac:dyDescent="0.25">
      <c r="A98" t="str">
        <f>LEFT(B98, FIND(" ",B98)-1)</f>
        <v>Danfree</v>
      </c>
      <c r="B98" s="4" t="s">
        <v>513</v>
      </c>
      <c r="C98" s="4" t="s">
        <v>83</v>
      </c>
      <c r="D98" t="s">
        <v>837</v>
      </c>
      <c r="E98">
        <v>560034</v>
      </c>
      <c r="F98" t="s">
        <v>19</v>
      </c>
      <c r="G98" s="7" t="s">
        <v>569</v>
      </c>
      <c r="H98" s="10" t="s">
        <v>803</v>
      </c>
      <c r="I98" s="4" t="s">
        <v>850</v>
      </c>
      <c r="J98" t="s">
        <v>887</v>
      </c>
      <c r="K98" s="4" t="s">
        <v>889</v>
      </c>
      <c r="L98" s="12">
        <v>0.55000000000000004</v>
      </c>
    </row>
    <row r="99" spans="1:12" ht="15.75" x14ac:dyDescent="0.25">
      <c r="A99" t="str">
        <f>LEFT(B99, FIND(" ",B99)-1)</f>
        <v>Deconstruct</v>
      </c>
      <c r="B99" s="4" t="s">
        <v>423</v>
      </c>
      <c r="C99" s="4" t="s">
        <v>83</v>
      </c>
      <c r="D99" t="s">
        <v>837</v>
      </c>
      <c r="E99">
        <v>560034</v>
      </c>
      <c r="F99" t="s">
        <v>19</v>
      </c>
      <c r="G99" s="7" t="s">
        <v>745</v>
      </c>
      <c r="H99" s="10" t="s">
        <v>746</v>
      </c>
      <c r="I99" s="4" t="s">
        <v>863</v>
      </c>
      <c r="J99" t="s">
        <v>887</v>
      </c>
      <c r="K99" s="4" t="s">
        <v>889</v>
      </c>
      <c r="L99" s="12">
        <v>0.41</v>
      </c>
    </row>
    <row r="100" spans="1:12" ht="15.75" x14ac:dyDescent="0.25">
      <c r="A100" t="str">
        <f>LEFT(B100, FIND(" ",B100)-1)</f>
        <v>Del</v>
      </c>
      <c r="B100" s="4" t="s">
        <v>348</v>
      </c>
      <c r="C100" s="4" t="s">
        <v>166</v>
      </c>
      <c r="D100" t="s">
        <v>837</v>
      </c>
      <c r="E100">
        <v>560034</v>
      </c>
      <c r="F100" t="s">
        <v>19</v>
      </c>
      <c r="G100" s="7" t="s">
        <v>680</v>
      </c>
      <c r="H100" s="10" t="s">
        <v>98</v>
      </c>
      <c r="I100" s="4" t="s">
        <v>98</v>
      </c>
      <c r="J100" t="s">
        <v>887</v>
      </c>
      <c r="K100" s="4" t="s">
        <v>889</v>
      </c>
      <c r="L100" t="s">
        <v>106</v>
      </c>
    </row>
    <row r="101" spans="1:12" ht="15.75" x14ac:dyDescent="0.25">
      <c r="A101" t="s">
        <v>12</v>
      </c>
      <c r="B101" t="s">
        <v>26</v>
      </c>
      <c r="C101" t="s">
        <v>44</v>
      </c>
      <c r="D101" t="s">
        <v>42</v>
      </c>
      <c r="E101">
        <v>560034</v>
      </c>
      <c r="F101" t="s">
        <v>19</v>
      </c>
      <c r="G101" s="6">
        <f>H101/(1-(VALUE(LEFT(I101,FIND("%",I101)-1))/100))</f>
        <v>1694.6428571428569</v>
      </c>
      <c r="H101" s="9">
        <v>949</v>
      </c>
      <c r="I101" s="3" t="s">
        <v>54</v>
      </c>
      <c r="J101" t="s">
        <v>887</v>
      </c>
      <c r="K101" s="4" t="s">
        <v>889</v>
      </c>
      <c r="L101" s="12">
        <v>0.44</v>
      </c>
    </row>
    <row r="102" spans="1:12" ht="15.75" x14ac:dyDescent="0.25">
      <c r="A102" t="s">
        <v>12</v>
      </c>
      <c r="B102" t="s">
        <v>27</v>
      </c>
      <c r="C102" t="s">
        <v>45</v>
      </c>
      <c r="D102" t="s">
        <v>42</v>
      </c>
      <c r="E102">
        <v>560034</v>
      </c>
      <c r="F102" t="s">
        <v>19</v>
      </c>
      <c r="G102" s="6">
        <f>H102/(1-(VALUE(LEFT(I102,FIND("%",I102)-1))/100))</f>
        <v>210.22727272727272</v>
      </c>
      <c r="H102" s="9">
        <v>185</v>
      </c>
      <c r="I102" s="3" t="s">
        <v>55</v>
      </c>
      <c r="J102" t="s">
        <v>887</v>
      </c>
      <c r="K102" s="4" t="s">
        <v>889</v>
      </c>
      <c r="L102" s="12">
        <v>0.12</v>
      </c>
    </row>
    <row r="103" spans="1:12" ht="15.75" x14ac:dyDescent="0.25">
      <c r="A103" t="s">
        <v>12</v>
      </c>
      <c r="B103" t="s">
        <v>29</v>
      </c>
      <c r="C103" t="s">
        <v>47</v>
      </c>
      <c r="D103" t="s">
        <v>42</v>
      </c>
      <c r="E103">
        <v>560034</v>
      </c>
      <c r="F103" t="s">
        <v>19</v>
      </c>
      <c r="G103" s="6">
        <f>H103/(1-(VALUE(LEFT(I103,FIND("%",I103)-1))/100))</f>
        <v>407.14285714285717</v>
      </c>
      <c r="H103" s="9">
        <v>285</v>
      </c>
      <c r="I103" s="3" t="s">
        <v>57</v>
      </c>
      <c r="J103" t="s">
        <v>887</v>
      </c>
      <c r="K103" s="4" t="s">
        <v>889</v>
      </c>
      <c r="L103" s="12">
        <v>0.3</v>
      </c>
    </row>
    <row r="104" spans="1:12" ht="15.75" x14ac:dyDescent="0.25">
      <c r="A104" t="s">
        <v>12</v>
      </c>
      <c r="B104" t="s">
        <v>30</v>
      </c>
      <c r="C104" t="s">
        <v>45</v>
      </c>
      <c r="D104" t="s">
        <v>42</v>
      </c>
      <c r="E104">
        <v>560034</v>
      </c>
      <c r="F104" t="s">
        <v>19</v>
      </c>
      <c r="G104" s="6">
        <f>H104/(1-(VALUE(LEFT(I104,FIND("%",I104)-1))/100))</f>
        <v>700</v>
      </c>
      <c r="H104" s="9">
        <v>560</v>
      </c>
      <c r="I104" s="3" t="s">
        <v>58</v>
      </c>
      <c r="J104" t="s">
        <v>887</v>
      </c>
      <c r="K104" s="4" t="s">
        <v>889</v>
      </c>
      <c r="L104" s="12">
        <v>0.2</v>
      </c>
    </row>
    <row r="105" spans="1:12" ht="15.75" x14ac:dyDescent="0.25">
      <c r="A105" t="s">
        <v>12</v>
      </c>
      <c r="B105" t="s">
        <v>31</v>
      </c>
      <c r="C105" t="s">
        <v>48</v>
      </c>
      <c r="D105" t="s">
        <v>42</v>
      </c>
      <c r="E105">
        <v>560034</v>
      </c>
      <c r="F105" t="s">
        <v>19</v>
      </c>
      <c r="G105" s="6">
        <f>H105/(1-(VALUE(LEFT(I105,FIND("%",I105)-1))/100))</f>
        <v>1625.5813953488371</v>
      </c>
      <c r="H105" s="9">
        <v>699</v>
      </c>
      <c r="I105" s="3" t="s">
        <v>59</v>
      </c>
      <c r="J105" t="s">
        <v>887</v>
      </c>
      <c r="K105" s="4" t="s">
        <v>889</v>
      </c>
      <c r="L105" s="12">
        <v>0.56999999999999995</v>
      </c>
    </row>
    <row r="106" spans="1:12" ht="15.75" x14ac:dyDescent="0.25">
      <c r="A106" t="s">
        <v>12</v>
      </c>
      <c r="B106" t="s">
        <v>32</v>
      </c>
      <c r="C106" t="s">
        <v>44</v>
      </c>
      <c r="D106" t="s">
        <v>42</v>
      </c>
      <c r="E106">
        <v>560034</v>
      </c>
      <c r="F106" t="s">
        <v>19</v>
      </c>
      <c r="G106" s="6">
        <f>H106/(1-(VALUE(LEFT(I106,FIND("%",I106)-1))/100))</f>
        <v>1516.0714285714284</v>
      </c>
      <c r="H106" s="9">
        <v>849</v>
      </c>
      <c r="I106" s="3" t="s">
        <v>54</v>
      </c>
      <c r="J106" t="s">
        <v>887</v>
      </c>
      <c r="K106" s="4" t="s">
        <v>889</v>
      </c>
      <c r="L106" s="12">
        <v>0.44</v>
      </c>
    </row>
    <row r="107" spans="1:12" ht="15.75" x14ac:dyDescent="0.25">
      <c r="A107" t="s">
        <v>12</v>
      </c>
      <c r="B107" t="s">
        <v>33</v>
      </c>
      <c r="C107" t="s">
        <v>45</v>
      </c>
      <c r="D107" t="s">
        <v>42</v>
      </c>
      <c r="E107">
        <v>560034</v>
      </c>
      <c r="F107" t="s">
        <v>19</v>
      </c>
      <c r="G107" s="6">
        <f>H107/(1-(VALUE(LEFT(I107,FIND("%",I107)-1))/100))</f>
        <v>255.68181818181819</v>
      </c>
      <c r="H107" s="9">
        <v>225</v>
      </c>
      <c r="I107" s="3" t="s">
        <v>55</v>
      </c>
      <c r="J107" t="s">
        <v>887</v>
      </c>
      <c r="K107" s="4" t="s">
        <v>889</v>
      </c>
      <c r="L107" s="12">
        <v>0.12</v>
      </c>
    </row>
    <row r="108" spans="1:12" ht="15.75" x14ac:dyDescent="0.25">
      <c r="A108" t="s">
        <v>12</v>
      </c>
      <c r="B108" t="s">
        <v>34</v>
      </c>
      <c r="C108" t="s">
        <v>49</v>
      </c>
      <c r="D108" t="s">
        <v>42</v>
      </c>
      <c r="E108">
        <v>560034</v>
      </c>
      <c r="F108" t="s">
        <v>19</v>
      </c>
      <c r="G108" s="6">
        <f>H108/(1-(VALUE(LEFT(I108,FIND("%",I108)-1))/100))</f>
        <v>779.22077922077915</v>
      </c>
      <c r="H108" s="9">
        <v>600</v>
      </c>
      <c r="I108" s="3" t="s">
        <v>60</v>
      </c>
      <c r="J108" t="s">
        <v>887</v>
      </c>
      <c r="K108" s="4" t="s">
        <v>889</v>
      </c>
      <c r="L108" s="12">
        <v>0.23</v>
      </c>
    </row>
    <row r="109" spans="1:12" ht="15.75" x14ac:dyDescent="0.25">
      <c r="A109" t="s">
        <v>12</v>
      </c>
      <c r="B109" t="s">
        <v>35</v>
      </c>
      <c r="C109" t="s">
        <v>50</v>
      </c>
      <c r="D109" t="s">
        <v>42</v>
      </c>
      <c r="E109">
        <v>560034</v>
      </c>
      <c r="F109" t="s">
        <v>19</v>
      </c>
      <c r="G109" s="6">
        <f>H109/(1-(VALUE(LEFT(I109,FIND("%",I109)-1))/100))</f>
        <v>289.53488372093022</v>
      </c>
      <c r="H109" s="9">
        <v>249</v>
      </c>
      <c r="I109" s="3" t="s">
        <v>56</v>
      </c>
      <c r="J109" t="s">
        <v>887</v>
      </c>
      <c r="K109" s="4" t="s">
        <v>889</v>
      </c>
      <c r="L109" s="12">
        <v>0.14000000000000001</v>
      </c>
    </row>
    <row r="110" spans="1:12" ht="15.75" x14ac:dyDescent="0.25">
      <c r="A110" t="s">
        <v>12</v>
      </c>
      <c r="B110" t="s">
        <v>36</v>
      </c>
      <c r="C110" t="s">
        <v>51</v>
      </c>
      <c r="D110" t="s">
        <v>42</v>
      </c>
      <c r="E110">
        <v>560034</v>
      </c>
      <c r="F110" t="s">
        <v>19</v>
      </c>
      <c r="G110" s="6">
        <f>H110/(1-(VALUE(LEFT(I110,FIND("%",I110)-1))/100))</f>
        <v>1763.6363636363635</v>
      </c>
      <c r="H110" s="9">
        <v>970</v>
      </c>
      <c r="I110" s="3" t="s">
        <v>61</v>
      </c>
      <c r="J110" t="s">
        <v>887</v>
      </c>
      <c r="K110" s="4" t="s">
        <v>888</v>
      </c>
      <c r="L110" s="12">
        <v>0.45</v>
      </c>
    </row>
    <row r="111" spans="1:12" ht="15.75" x14ac:dyDescent="0.25">
      <c r="A111" t="s">
        <v>12</v>
      </c>
      <c r="B111" t="s">
        <v>37</v>
      </c>
      <c r="C111" t="s">
        <v>47</v>
      </c>
      <c r="D111" t="s">
        <v>42</v>
      </c>
      <c r="E111">
        <v>560034</v>
      </c>
      <c r="F111" t="s">
        <v>19</v>
      </c>
      <c r="G111" s="6">
        <f>H111/(1-(VALUE(LEFT(I111,FIND("%",I111)-1))/100))</f>
        <v>407.14285714285717</v>
      </c>
      <c r="H111" s="9">
        <v>285</v>
      </c>
      <c r="I111" s="3" t="s">
        <v>57</v>
      </c>
      <c r="J111" t="s">
        <v>887</v>
      </c>
      <c r="K111" s="4" t="s">
        <v>889</v>
      </c>
      <c r="L111" s="12">
        <v>0.3</v>
      </c>
    </row>
    <row r="112" spans="1:12" ht="15.75" x14ac:dyDescent="0.25">
      <c r="A112" t="s">
        <v>12</v>
      </c>
      <c r="B112" t="s">
        <v>38</v>
      </c>
      <c r="C112" t="s">
        <v>51</v>
      </c>
      <c r="D112" t="s">
        <v>42</v>
      </c>
      <c r="E112">
        <v>560034</v>
      </c>
      <c r="F112" t="s">
        <v>19</v>
      </c>
      <c r="G112" s="6">
        <f>H112/(1-(VALUE(LEFT(I112,FIND("%",I112)-1))/100))</f>
        <v>1865.3846153846152</v>
      </c>
      <c r="H112" s="9">
        <v>970</v>
      </c>
      <c r="I112" s="3" t="s">
        <v>62</v>
      </c>
      <c r="J112" t="s">
        <v>887</v>
      </c>
      <c r="K112" s="4" t="s">
        <v>889</v>
      </c>
      <c r="L112" s="12">
        <v>0.48</v>
      </c>
    </row>
    <row r="113" spans="1:12" ht="15.75" x14ac:dyDescent="0.25">
      <c r="A113" t="s">
        <v>12</v>
      </c>
      <c r="B113" t="s">
        <v>39</v>
      </c>
      <c r="C113" t="s">
        <v>52</v>
      </c>
      <c r="D113" t="s">
        <v>42</v>
      </c>
      <c r="E113">
        <v>560034</v>
      </c>
      <c r="F113" t="s">
        <v>19</v>
      </c>
      <c r="G113" s="6">
        <f>H113/(1-(VALUE(LEFT(I113,FIND("%",I113)-1))/100))</f>
        <v>807.69230769230762</v>
      </c>
      <c r="H113" s="9">
        <v>525</v>
      </c>
      <c r="I113" s="3" t="s">
        <v>63</v>
      </c>
      <c r="J113" t="s">
        <v>887</v>
      </c>
      <c r="K113" s="4" t="s">
        <v>888</v>
      </c>
      <c r="L113" s="12">
        <v>0.35</v>
      </c>
    </row>
    <row r="114" spans="1:12" ht="15.75" x14ac:dyDescent="0.25">
      <c r="A114" t="s">
        <v>12</v>
      </c>
      <c r="B114" t="s">
        <v>40</v>
      </c>
      <c r="C114" t="s">
        <v>53</v>
      </c>
      <c r="D114" t="s">
        <v>42</v>
      </c>
      <c r="E114">
        <v>560034</v>
      </c>
      <c r="F114" t="s">
        <v>19</v>
      </c>
      <c r="G114" s="6">
        <f>H114/(1-(VALUE(LEFT(I114,FIND("%",I114)-1))/100))</f>
        <v>986.30136986301375</v>
      </c>
      <c r="H114" s="9">
        <v>720</v>
      </c>
      <c r="I114" s="3" t="s">
        <v>64</v>
      </c>
      <c r="J114" t="s">
        <v>887</v>
      </c>
      <c r="K114" s="4" t="s">
        <v>888</v>
      </c>
      <c r="L114" s="12">
        <v>0.27</v>
      </c>
    </row>
    <row r="115" spans="1:12" ht="15.75" x14ac:dyDescent="0.25">
      <c r="A115" t="s">
        <v>12</v>
      </c>
      <c r="B115" t="s">
        <v>41</v>
      </c>
      <c r="C115" t="s">
        <v>47</v>
      </c>
      <c r="D115" t="s">
        <v>42</v>
      </c>
      <c r="E115">
        <v>560034</v>
      </c>
      <c r="F115" t="s">
        <v>19</v>
      </c>
      <c r="G115" s="6">
        <f>H115/(1-(VALUE(LEFT(I115,FIND("%",I115)-1))/100))</f>
        <v>481.53846153846155</v>
      </c>
      <c r="H115" s="9">
        <v>313</v>
      </c>
      <c r="I115" s="3" t="s">
        <v>63</v>
      </c>
      <c r="J115" t="s">
        <v>887</v>
      </c>
      <c r="K115" s="4" t="s">
        <v>888</v>
      </c>
      <c r="L115" s="12">
        <v>0.35</v>
      </c>
    </row>
    <row r="116" spans="1:12" ht="15.75" x14ac:dyDescent="0.25">
      <c r="A116" t="s">
        <v>12</v>
      </c>
      <c r="B116" s="4" t="s">
        <v>71</v>
      </c>
      <c r="C116" s="4" t="s">
        <v>48</v>
      </c>
      <c r="D116" t="s">
        <v>42</v>
      </c>
      <c r="E116">
        <v>560034</v>
      </c>
      <c r="F116" t="s">
        <v>19</v>
      </c>
      <c r="G116" s="6">
        <v>172</v>
      </c>
      <c r="H116" s="9" t="s">
        <v>106</v>
      </c>
      <c r="I116" s="3" t="s">
        <v>106</v>
      </c>
      <c r="J116" t="s">
        <v>887</v>
      </c>
      <c r="K116" s="4" t="s">
        <v>889</v>
      </c>
      <c r="L116" s="12" t="s">
        <v>885</v>
      </c>
    </row>
    <row r="117" spans="1:12" ht="15.75" x14ac:dyDescent="0.25">
      <c r="A117" t="s">
        <v>12</v>
      </c>
      <c r="B117" s="4" t="s">
        <v>38</v>
      </c>
      <c r="C117" s="4" t="s">
        <v>48</v>
      </c>
      <c r="D117" t="s">
        <v>42</v>
      </c>
      <c r="E117">
        <v>560034</v>
      </c>
      <c r="F117" t="s">
        <v>19</v>
      </c>
      <c r="G117" s="6">
        <v>172</v>
      </c>
      <c r="H117" s="9" t="s">
        <v>106</v>
      </c>
      <c r="I117" s="3" t="s">
        <v>106</v>
      </c>
      <c r="J117" t="s">
        <v>887</v>
      </c>
      <c r="K117" s="4" t="s">
        <v>889</v>
      </c>
      <c r="L117" s="12" t="s">
        <v>885</v>
      </c>
    </row>
    <row r="118" spans="1:12" ht="15.75" x14ac:dyDescent="0.25">
      <c r="A118" t="s">
        <v>12</v>
      </c>
      <c r="B118" s="4" t="s">
        <v>38</v>
      </c>
      <c r="C118" s="4" t="s">
        <v>78</v>
      </c>
      <c r="D118" t="s">
        <v>42</v>
      </c>
      <c r="E118">
        <v>560034</v>
      </c>
      <c r="F118" t="s">
        <v>19</v>
      </c>
      <c r="G118" s="6">
        <v>324</v>
      </c>
      <c r="H118" s="9" t="s">
        <v>106</v>
      </c>
      <c r="I118" s="3" t="s">
        <v>106</v>
      </c>
      <c r="J118" t="s">
        <v>887</v>
      </c>
      <c r="K118" s="4" t="s">
        <v>889</v>
      </c>
      <c r="L118" s="12" t="s">
        <v>885</v>
      </c>
    </row>
    <row r="119" spans="1:12" ht="15.75" x14ac:dyDescent="0.25">
      <c r="A119" t="s">
        <v>12</v>
      </c>
      <c r="B119" t="s">
        <v>190</v>
      </c>
      <c r="C119" t="s">
        <v>51</v>
      </c>
      <c r="D119" t="s">
        <v>42</v>
      </c>
      <c r="E119">
        <v>560034</v>
      </c>
      <c r="F119" t="s">
        <v>19</v>
      </c>
      <c r="G119" s="6">
        <v>501</v>
      </c>
      <c r="H119" s="9">
        <v>279</v>
      </c>
      <c r="I119" t="s">
        <v>120</v>
      </c>
      <c r="J119" t="s">
        <v>887</v>
      </c>
      <c r="K119" s="4" t="s">
        <v>888</v>
      </c>
      <c r="L119" s="12">
        <v>0.15</v>
      </c>
    </row>
    <row r="120" spans="1:12" ht="15.75" x14ac:dyDescent="0.25">
      <c r="A120" t="str">
        <f>LEFT(B120, FIND(" ",B120)-1)</f>
        <v>Dove</v>
      </c>
      <c r="B120" s="4" t="s">
        <v>333</v>
      </c>
      <c r="C120" s="4" t="s">
        <v>222</v>
      </c>
      <c r="D120" t="s">
        <v>837</v>
      </c>
      <c r="E120">
        <v>560034</v>
      </c>
      <c r="F120" t="s">
        <v>19</v>
      </c>
      <c r="G120" s="7" t="s">
        <v>669</v>
      </c>
      <c r="H120" s="10" t="s">
        <v>550</v>
      </c>
      <c r="I120" s="4" t="s">
        <v>839</v>
      </c>
      <c r="J120" t="s">
        <v>887</v>
      </c>
      <c r="K120" s="4" t="s">
        <v>889</v>
      </c>
      <c r="L120" s="12">
        <v>0.09</v>
      </c>
    </row>
    <row r="121" spans="1:12" ht="15.75" x14ac:dyDescent="0.25">
      <c r="A121" t="str">
        <f>LEFT(B121, FIND(" ",B121)-1)</f>
        <v>Dove</v>
      </c>
      <c r="B121" s="4" t="s">
        <v>388</v>
      </c>
      <c r="C121" s="4" t="s">
        <v>389</v>
      </c>
      <c r="D121" t="s">
        <v>837</v>
      </c>
      <c r="E121">
        <v>560034</v>
      </c>
      <c r="F121" t="s">
        <v>19</v>
      </c>
      <c r="G121" s="7" t="s">
        <v>712</v>
      </c>
      <c r="H121" s="10" t="s">
        <v>98</v>
      </c>
      <c r="I121" s="4" t="s">
        <v>98</v>
      </c>
      <c r="J121" t="s">
        <v>887</v>
      </c>
      <c r="K121" s="4" t="s">
        <v>889</v>
      </c>
      <c r="L121" t="s">
        <v>106</v>
      </c>
    </row>
    <row r="122" spans="1:12" ht="15.75" x14ac:dyDescent="0.25">
      <c r="A122" t="str">
        <f>LEFT(B122, FIND(" ",B122)-1)</f>
        <v>Dove</v>
      </c>
      <c r="B122" s="4" t="s">
        <v>333</v>
      </c>
      <c r="C122" s="4" t="s">
        <v>222</v>
      </c>
      <c r="D122" t="s">
        <v>837</v>
      </c>
      <c r="E122">
        <v>560034</v>
      </c>
      <c r="F122" t="s">
        <v>19</v>
      </c>
      <c r="G122" s="7" t="s">
        <v>732</v>
      </c>
      <c r="H122" s="10" t="s">
        <v>603</v>
      </c>
      <c r="I122" s="4" t="s">
        <v>868</v>
      </c>
      <c r="J122" t="s">
        <v>887</v>
      </c>
      <c r="K122" s="4" t="s">
        <v>889</v>
      </c>
      <c r="L122" s="12">
        <v>0.22</v>
      </c>
    </row>
    <row r="123" spans="1:12" ht="15.75" x14ac:dyDescent="0.25">
      <c r="A123" t="str">
        <f>LEFT(B123, FIND(" ",B123)-1)</f>
        <v>Dove</v>
      </c>
      <c r="B123" s="4" t="s">
        <v>38</v>
      </c>
      <c r="C123" s="4" t="s">
        <v>48</v>
      </c>
      <c r="D123" t="s">
        <v>837</v>
      </c>
      <c r="E123">
        <v>560034</v>
      </c>
      <c r="F123" t="s">
        <v>19</v>
      </c>
      <c r="G123" s="7" t="s">
        <v>763</v>
      </c>
      <c r="H123" s="10" t="s">
        <v>557</v>
      </c>
      <c r="I123" s="4" t="s">
        <v>845</v>
      </c>
      <c r="J123" t="s">
        <v>887</v>
      </c>
      <c r="K123" s="4" t="s">
        <v>888</v>
      </c>
      <c r="L123" s="12">
        <v>0.25</v>
      </c>
    </row>
    <row r="124" spans="1:12" ht="15.75" x14ac:dyDescent="0.25">
      <c r="A124" t="str">
        <f>LEFT(B124, FIND(" ",B124)-1)</f>
        <v>Dove</v>
      </c>
      <c r="B124" s="4" t="s">
        <v>36</v>
      </c>
      <c r="C124" s="4" t="s">
        <v>48</v>
      </c>
      <c r="D124" t="s">
        <v>837</v>
      </c>
      <c r="E124">
        <v>560034</v>
      </c>
      <c r="F124" t="s">
        <v>19</v>
      </c>
      <c r="G124" s="7" t="s">
        <v>764</v>
      </c>
      <c r="H124" s="10" t="s">
        <v>765</v>
      </c>
      <c r="I124" s="4" t="s">
        <v>843</v>
      </c>
      <c r="J124" t="s">
        <v>887</v>
      </c>
      <c r="K124" s="4" t="s">
        <v>889</v>
      </c>
      <c r="L124" s="12">
        <v>0.06</v>
      </c>
    </row>
    <row r="125" spans="1:12" ht="15.75" x14ac:dyDescent="0.25">
      <c r="A125" t="str">
        <f>LEFT(B125, FIND(" ",B125)-1)</f>
        <v>Dove</v>
      </c>
      <c r="B125" s="4" t="s">
        <v>472</v>
      </c>
      <c r="C125" s="4" t="s">
        <v>51</v>
      </c>
      <c r="D125" t="s">
        <v>837</v>
      </c>
      <c r="E125">
        <v>560034</v>
      </c>
      <c r="F125" t="s">
        <v>19</v>
      </c>
      <c r="G125" s="7" t="s">
        <v>566</v>
      </c>
      <c r="H125" s="10" t="s">
        <v>703</v>
      </c>
      <c r="I125" s="4" t="s">
        <v>840</v>
      </c>
      <c r="J125" t="s">
        <v>887</v>
      </c>
      <c r="K125" s="4" t="s">
        <v>888</v>
      </c>
      <c r="L125" s="12">
        <v>0.16</v>
      </c>
    </row>
    <row r="126" spans="1:12" ht="15.75" x14ac:dyDescent="0.25">
      <c r="A126" t="str">
        <f>LEFT(B126, FIND(" ",B126)-1)</f>
        <v>Dove</v>
      </c>
      <c r="B126" s="4" t="s">
        <v>514</v>
      </c>
      <c r="C126" s="4" t="s">
        <v>78</v>
      </c>
      <c r="D126" t="s">
        <v>837</v>
      </c>
      <c r="E126">
        <v>560034</v>
      </c>
      <c r="F126" t="s">
        <v>19</v>
      </c>
      <c r="G126" s="7" t="s">
        <v>828</v>
      </c>
      <c r="H126" s="10" t="s">
        <v>600</v>
      </c>
      <c r="I126" s="4" t="s">
        <v>882</v>
      </c>
      <c r="J126" t="s">
        <v>887</v>
      </c>
      <c r="K126" s="4" t="s">
        <v>890</v>
      </c>
      <c r="L126" s="12">
        <v>0.26</v>
      </c>
    </row>
    <row r="127" spans="1:12" ht="15.75" x14ac:dyDescent="0.25">
      <c r="A127" t="str">
        <f>LEFT(B127, FIND(" ",B127)-1)</f>
        <v>Dove</v>
      </c>
      <c r="B127" s="4" t="s">
        <v>515</v>
      </c>
      <c r="C127" s="4" t="s">
        <v>78</v>
      </c>
      <c r="D127" t="s">
        <v>837</v>
      </c>
      <c r="E127">
        <v>560034</v>
      </c>
      <c r="F127" t="s">
        <v>19</v>
      </c>
      <c r="G127" s="7" t="s">
        <v>763</v>
      </c>
      <c r="H127" s="10" t="s">
        <v>557</v>
      </c>
      <c r="I127" s="4" t="s">
        <v>845</v>
      </c>
      <c r="J127" t="s">
        <v>887</v>
      </c>
      <c r="K127" s="4" t="s">
        <v>889</v>
      </c>
      <c r="L127" s="12">
        <v>0.25</v>
      </c>
    </row>
    <row r="128" spans="1:12" x14ac:dyDescent="0.25">
      <c r="A128" t="s">
        <v>12</v>
      </c>
      <c r="B128" t="s">
        <v>38</v>
      </c>
      <c r="C128" t="s">
        <v>930</v>
      </c>
      <c r="D128" t="s">
        <v>18</v>
      </c>
      <c r="E128">
        <v>560034</v>
      </c>
      <c r="F128" t="s">
        <v>19</v>
      </c>
      <c r="G128" s="6">
        <v>160</v>
      </c>
      <c r="H128" t="s">
        <v>762</v>
      </c>
      <c r="I128" t="s">
        <v>998</v>
      </c>
      <c r="J128" t="s">
        <v>887</v>
      </c>
      <c r="K128" t="s">
        <v>889</v>
      </c>
      <c r="L128" s="12">
        <v>0.06</v>
      </c>
    </row>
    <row r="129" spans="1:12" x14ac:dyDescent="0.25">
      <c r="A129" t="s">
        <v>12</v>
      </c>
      <c r="B129" t="s">
        <v>37</v>
      </c>
      <c r="C129" t="s">
        <v>939</v>
      </c>
      <c r="D129" t="s">
        <v>18</v>
      </c>
      <c r="E129">
        <v>560034</v>
      </c>
      <c r="F129" t="s">
        <v>19</v>
      </c>
      <c r="G129" s="6">
        <v>181</v>
      </c>
      <c r="H129" t="s">
        <v>993</v>
      </c>
      <c r="I129" t="s">
        <v>999</v>
      </c>
      <c r="J129" t="s">
        <v>887</v>
      </c>
      <c r="K129" t="s">
        <v>889</v>
      </c>
      <c r="L129" s="12">
        <v>0.36</v>
      </c>
    </row>
    <row r="130" spans="1:12" x14ac:dyDescent="0.25">
      <c r="A130" t="s">
        <v>12</v>
      </c>
      <c r="B130" t="s">
        <v>981</v>
      </c>
      <c r="C130" t="s">
        <v>935</v>
      </c>
      <c r="D130" t="s">
        <v>18</v>
      </c>
      <c r="E130">
        <v>560034</v>
      </c>
      <c r="F130" t="s">
        <v>19</v>
      </c>
      <c r="G130" s="6">
        <v>598</v>
      </c>
      <c r="H130" t="s">
        <v>724</v>
      </c>
      <c r="I130" t="s">
        <v>1000</v>
      </c>
      <c r="J130" t="s">
        <v>887</v>
      </c>
      <c r="K130" t="s">
        <v>889</v>
      </c>
      <c r="L130" s="12">
        <v>7.0000000000000007E-2</v>
      </c>
    </row>
    <row r="131" spans="1:12" x14ac:dyDescent="0.25">
      <c r="A131" t="s">
        <v>12</v>
      </c>
      <c r="B131" t="s">
        <v>29</v>
      </c>
      <c r="C131" t="s">
        <v>990</v>
      </c>
      <c r="D131" t="s">
        <v>18</v>
      </c>
      <c r="E131">
        <v>560034</v>
      </c>
      <c r="F131" t="s">
        <v>19</v>
      </c>
      <c r="G131" s="6">
        <v>360</v>
      </c>
      <c r="H131" t="s">
        <v>740</v>
      </c>
      <c r="I131" t="s">
        <v>1001</v>
      </c>
      <c r="J131" t="s">
        <v>887</v>
      </c>
      <c r="K131" t="s">
        <v>889</v>
      </c>
      <c r="L131" s="12">
        <v>0.31</v>
      </c>
    </row>
    <row r="132" spans="1:12" x14ac:dyDescent="0.25">
      <c r="A132" t="s">
        <v>12</v>
      </c>
      <c r="B132" t="s">
        <v>29</v>
      </c>
      <c r="C132" t="s">
        <v>939</v>
      </c>
      <c r="D132" t="s">
        <v>18</v>
      </c>
      <c r="E132">
        <v>560034</v>
      </c>
      <c r="F132" t="s">
        <v>19</v>
      </c>
      <c r="G132" s="6">
        <v>188</v>
      </c>
      <c r="H132" t="s">
        <v>993</v>
      </c>
      <c r="I132" t="s">
        <v>1002</v>
      </c>
      <c r="J132" t="s">
        <v>887</v>
      </c>
      <c r="K132" t="s">
        <v>889</v>
      </c>
      <c r="L132" s="12">
        <v>0.34</v>
      </c>
    </row>
    <row r="133" spans="1:12" x14ac:dyDescent="0.25">
      <c r="A133" t="s">
        <v>12</v>
      </c>
      <c r="B133" t="s">
        <v>982</v>
      </c>
      <c r="C133" t="s">
        <v>991</v>
      </c>
      <c r="D133" t="s">
        <v>18</v>
      </c>
      <c r="E133">
        <v>560034</v>
      </c>
      <c r="F133" t="s">
        <v>19</v>
      </c>
      <c r="G133" s="6">
        <v>408</v>
      </c>
      <c r="H133" t="s">
        <v>717</v>
      </c>
      <c r="I133" t="s">
        <v>950</v>
      </c>
      <c r="J133" t="s">
        <v>887</v>
      </c>
      <c r="K133" t="s">
        <v>889</v>
      </c>
      <c r="L133" s="12">
        <v>0.33</v>
      </c>
    </row>
    <row r="134" spans="1:12" x14ac:dyDescent="0.25">
      <c r="A134" t="s">
        <v>12</v>
      </c>
      <c r="B134" t="s">
        <v>983</v>
      </c>
      <c r="C134" t="s">
        <v>992</v>
      </c>
      <c r="D134" t="s">
        <v>18</v>
      </c>
      <c r="E134">
        <v>560034</v>
      </c>
      <c r="F134" t="s">
        <v>19</v>
      </c>
      <c r="G134" s="6">
        <v>426</v>
      </c>
      <c r="H134" t="s">
        <v>717</v>
      </c>
      <c r="I134" t="s">
        <v>979</v>
      </c>
      <c r="J134" t="s">
        <v>887</v>
      </c>
      <c r="K134" t="s">
        <v>889</v>
      </c>
      <c r="L134" s="12">
        <v>0.3</v>
      </c>
    </row>
    <row r="135" spans="1:12" x14ac:dyDescent="0.25">
      <c r="A135" t="s">
        <v>12</v>
      </c>
      <c r="B135" t="s">
        <v>984</v>
      </c>
      <c r="C135" t="s">
        <v>939</v>
      </c>
      <c r="D135" t="s">
        <v>18</v>
      </c>
      <c r="E135">
        <v>560034</v>
      </c>
      <c r="F135" t="s">
        <v>19</v>
      </c>
      <c r="G135" s="6">
        <v>199</v>
      </c>
      <c r="H135" t="s">
        <v>993</v>
      </c>
      <c r="I135" t="s">
        <v>979</v>
      </c>
      <c r="J135" t="s">
        <v>887</v>
      </c>
      <c r="K135" t="s">
        <v>889</v>
      </c>
      <c r="L135" s="12">
        <v>0.3</v>
      </c>
    </row>
    <row r="136" spans="1:12" x14ac:dyDescent="0.25">
      <c r="A136" t="s">
        <v>12</v>
      </c>
      <c r="B136" t="s">
        <v>41</v>
      </c>
      <c r="C136" t="s">
        <v>939</v>
      </c>
      <c r="D136" t="s">
        <v>18</v>
      </c>
      <c r="E136">
        <v>560034</v>
      </c>
      <c r="F136" t="s">
        <v>19</v>
      </c>
      <c r="G136" s="6">
        <v>199</v>
      </c>
      <c r="H136" t="s">
        <v>994</v>
      </c>
      <c r="I136" t="s">
        <v>999</v>
      </c>
      <c r="J136" t="s">
        <v>887</v>
      </c>
      <c r="K136" t="s">
        <v>889</v>
      </c>
      <c r="L136" s="12">
        <v>0.36</v>
      </c>
    </row>
    <row r="137" spans="1:12" x14ac:dyDescent="0.25">
      <c r="A137" t="s">
        <v>12</v>
      </c>
      <c r="B137" t="s">
        <v>985</v>
      </c>
      <c r="C137" t="s">
        <v>991</v>
      </c>
      <c r="D137" t="s">
        <v>18</v>
      </c>
      <c r="E137">
        <v>560034</v>
      </c>
      <c r="F137" t="s">
        <v>19</v>
      </c>
      <c r="G137" s="6">
        <v>301</v>
      </c>
      <c r="H137" t="s">
        <v>995</v>
      </c>
      <c r="I137" t="s">
        <v>1003</v>
      </c>
      <c r="J137" t="s">
        <v>887</v>
      </c>
      <c r="K137" t="s">
        <v>888</v>
      </c>
      <c r="L137" s="12">
        <v>0.42</v>
      </c>
    </row>
    <row r="138" spans="1:12" x14ac:dyDescent="0.25">
      <c r="A138" t="s">
        <v>12</v>
      </c>
      <c r="B138" t="s">
        <v>987</v>
      </c>
      <c r="C138" t="s">
        <v>433</v>
      </c>
      <c r="D138" t="s">
        <v>18</v>
      </c>
      <c r="E138">
        <v>560034</v>
      </c>
      <c r="F138" t="s">
        <v>19</v>
      </c>
      <c r="G138" s="6">
        <v>357</v>
      </c>
      <c r="H138" t="s">
        <v>649</v>
      </c>
      <c r="I138" t="s">
        <v>957</v>
      </c>
      <c r="J138" t="s">
        <v>887</v>
      </c>
      <c r="K138" t="s">
        <v>889</v>
      </c>
      <c r="L138" s="12">
        <v>0.28000000000000003</v>
      </c>
    </row>
    <row r="139" spans="1:12" x14ac:dyDescent="0.25">
      <c r="A139" t="s">
        <v>12</v>
      </c>
      <c r="B139" t="s">
        <v>1006</v>
      </c>
      <c r="C139" t="s">
        <v>1016</v>
      </c>
      <c r="D139" t="s">
        <v>18</v>
      </c>
      <c r="E139">
        <v>560034</v>
      </c>
      <c r="F139" t="s">
        <v>19</v>
      </c>
      <c r="G139" s="6">
        <v>544</v>
      </c>
      <c r="H139" t="s">
        <v>792</v>
      </c>
      <c r="I139" t="s">
        <v>1022</v>
      </c>
      <c r="J139" t="s">
        <v>887</v>
      </c>
      <c r="K139" t="s">
        <v>889</v>
      </c>
      <c r="L139" s="12">
        <v>0.24</v>
      </c>
    </row>
    <row r="140" spans="1:12" x14ac:dyDescent="0.25">
      <c r="A140" t="s">
        <v>12</v>
      </c>
      <c r="B140" t="s">
        <v>1007</v>
      </c>
      <c r="C140" t="s">
        <v>1017</v>
      </c>
      <c r="D140" t="s">
        <v>18</v>
      </c>
      <c r="E140">
        <v>560034</v>
      </c>
      <c r="F140" t="s">
        <v>19</v>
      </c>
      <c r="G140" s="6">
        <v>212</v>
      </c>
      <c r="H140" t="s">
        <v>706</v>
      </c>
      <c r="I140" t="s">
        <v>960</v>
      </c>
      <c r="J140" t="s">
        <v>887</v>
      </c>
      <c r="K140" t="s">
        <v>889</v>
      </c>
      <c r="L140" s="12">
        <v>0.14000000000000001</v>
      </c>
    </row>
    <row r="141" spans="1:12" x14ac:dyDescent="0.25">
      <c r="A141" t="s">
        <v>12</v>
      </c>
      <c r="B141" t="s">
        <v>38</v>
      </c>
      <c r="C141" t="s">
        <v>931</v>
      </c>
      <c r="D141" t="s">
        <v>18</v>
      </c>
      <c r="E141">
        <v>560034</v>
      </c>
      <c r="F141" t="s">
        <v>19</v>
      </c>
      <c r="G141" s="6">
        <v>324</v>
      </c>
      <c r="H141" t="s">
        <v>557</v>
      </c>
      <c r="I141" t="s">
        <v>958</v>
      </c>
      <c r="J141" t="s">
        <v>887</v>
      </c>
      <c r="K141" t="s">
        <v>889</v>
      </c>
      <c r="L141" s="12">
        <v>0.25</v>
      </c>
    </row>
    <row r="142" spans="1:12" x14ac:dyDescent="0.25">
      <c r="A142" t="s">
        <v>12</v>
      </c>
      <c r="B142" t="s">
        <v>1008</v>
      </c>
      <c r="C142" t="s">
        <v>1018</v>
      </c>
      <c r="D142" t="s">
        <v>18</v>
      </c>
      <c r="E142">
        <v>560034</v>
      </c>
      <c r="F142" t="s">
        <v>19</v>
      </c>
      <c r="G142" s="6">
        <v>202</v>
      </c>
      <c r="H142" t="s">
        <v>623</v>
      </c>
      <c r="I142" t="s">
        <v>1023</v>
      </c>
      <c r="J142" t="s">
        <v>887</v>
      </c>
      <c r="K142" t="s">
        <v>889</v>
      </c>
      <c r="L142" s="12">
        <v>0.26</v>
      </c>
    </row>
    <row r="143" spans="1:12" x14ac:dyDescent="0.25">
      <c r="A143" t="s">
        <v>12</v>
      </c>
      <c r="B143" t="s">
        <v>1009</v>
      </c>
      <c r="C143" t="s">
        <v>935</v>
      </c>
      <c r="D143" t="s">
        <v>18</v>
      </c>
      <c r="E143">
        <v>560034</v>
      </c>
      <c r="F143" t="s">
        <v>19</v>
      </c>
      <c r="G143" s="6">
        <v>571</v>
      </c>
      <c r="H143" t="s">
        <v>724</v>
      </c>
      <c r="I143" t="s">
        <v>948</v>
      </c>
      <c r="J143" t="s">
        <v>887</v>
      </c>
      <c r="K143" t="s">
        <v>889</v>
      </c>
      <c r="L143" s="12">
        <v>0.12</v>
      </c>
    </row>
    <row r="144" spans="1:12" x14ac:dyDescent="0.25">
      <c r="A144" t="s">
        <v>12</v>
      </c>
      <c r="B144" t="s">
        <v>190</v>
      </c>
      <c r="C144" t="s">
        <v>930</v>
      </c>
      <c r="D144" t="s">
        <v>18</v>
      </c>
      <c r="E144">
        <v>560034</v>
      </c>
      <c r="F144" t="s">
        <v>19</v>
      </c>
      <c r="G144" s="6">
        <v>162</v>
      </c>
      <c r="H144" t="s">
        <v>762</v>
      </c>
      <c r="I144" t="s">
        <v>956</v>
      </c>
      <c r="J144" t="s">
        <v>887</v>
      </c>
      <c r="K144" t="s">
        <v>889</v>
      </c>
      <c r="L144" s="12">
        <v>0.05</v>
      </c>
    </row>
    <row r="145" spans="1:12" x14ac:dyDescent="0.25">
      <c r="A145" t="s">
        <v>12</v>
      </c>
      <c r="B145" t="s">
        <v>1010</v>
      </c>
      <c r="C145" t="s">
        <v>933</v>
      </c>
      <c r="D145" t="s">
        <v>18</v>
      </c>
      <c r="E145">
        <v>560034</v>
      </c>
      <c r="F145" t="s">
        <v>19</v>
      </c>
      <c r="G145" s="6">
        <v>473</v>
      </c>
      <c r="H145" t="s">
        <v>1020</v>
      </c>
      <c r="I145" t="s">
        <v>1003</v>
      </c>
      <c r="J145" t="s">
        <v>887</v>
      </c>
      <c r="K145" t="s">
        <v>889</v>
      </c>
      <c r="L145" s="12">
        <v>0.42</v>
      </c>
    </row>
    <row r="146" spans="1:12" x14ac:dyDescent="0.25">
      <c r="A146" t="s">
        <v>12</v>
      </c>
      <c r="B146" t="s">
        <v>38</v>
      </c>
      <c r="C146" t="s">
        <v>933</v>
      </c>
      <c r="D146" t="s">
        <v>18</v>
      </c>
      <c r="E146">
        <v>560034</v>
      </c>
      <c r="F146" t="s">
        <v>19</v>
      </c>
      <c r="G146" s="6">
        <v>483</v>
      </c>
      <c r="H146" t="s">
        <v>788</v>
      </c>
      <c r="I146" t="s">
        <v>1024</v>
      </c>
      <c r="J146" t="s">
        <v>887</v>
      </c>
      <c r="K146" t="s">
        <v>889</v>
      </c>
      <c r="L146" s="12">
        <v>0.5</v>
      </c>
    </row>
    <row r="147" spans="1:12" x14ac:dyDescent="0.25">
      <c r="A147" t="s">
        <v>12</v>
      </c>
      <c r="B147" t="s">
        <v>1011</v>
      </c>
      <c r="C147" t="s">
        <v>931</v>
      </c>
      <c r="D147" t="s">
        <v>18</v>
      </c>
      <c r="E147">
        <v>560034</v>
      </c>
      <c r="F147" t="s">
        <v>19</v>
      </c>
      <c r="G147" s="6">
        <v>366</v>
      </c>
      <c r="H147" t="s">
        <v>1021</v>
      </c>
      <c r="I147" t="s">
        <v>1001</v>
      </c>
      <c r="J147" t="s">
        <v>887</v>
      </c>
      <c r="K147" t="s">
        <v>889</v>
      </c>
      <c r="L147" s="12">
        <v>0.31</v>
      </c>
    </row>
    <row r="148" spans="1:12" x14ac:dyDescent="0.25">
      <c r="A148" t="s">
        <v>12</v>
      </c>
      <c r="B148" t="s">
        <v>1012</v>
      </c>
      <c r="C148" t="s">
        <v>939</v>
      </c>
      <c r="D148" t="s">
        <v>18</v>
      </c>
      <c r="E148">
        <v>560034</v>
      </c>
      <c r="F148" t="s">
        <v>19</v>
      </c>
      <c r="G148" s="6">
        <v>192</v>
      </c>
      <c r="H148" t="s">
        <v>993</v>
      </c>
      <c r="I148" t="s">
        <v>1025</v>
      </c>
      <c r="J148" t="s">
        <v>887</v>
      </c>
      <c r="K148" t="s">
        <v>889</v>
      </c>
      <c r="L148" s="12">
        <v>0.32</v>
      </c>
    </row>
    <row r="149" spans="1:12" x14ac:dyDescent="0.25">
      <c r="A149" t="s">
        <v>12</v>
      </c>
      <c r="B149" t="s">
        <v>1015</v>
      </c>
      <c r="C149" t="s">
        <v>78</v>
      </c>
      <c r="D149" t="s">
        <v>18</v>
      </c>
      <c r="E149">
        <v>560034</v>
      </c>
      <c r="F149" t="s">
        <v>19</v>
      </c>
      <c r="G149" s="6">
        <v>326</v>
      </c>
      <c r="H149" t="s">
        <v>557</v>
      </c>
      <c r="I149" t="s">
        <v>958</v>
      </c>
      <c r="J149" t="s">
        <v>887</v>
      </c>
      <c r="K149" t="s">
        <v>889</v>
      </c>
      <c r="L149" s="12">
        <v>0.25</v>
      </c>
    </row>
    <row r="150" spans="1:12" ht="15.75" x14ac:dyDescent="0.25">
      <c r="A150" s="4" t="s">
        <v>12</v>
      </c>
      <c r="B150" s="4" t="s">
        <v>38</v>
      </c>
      <c r="C150" s="4" t="s">
        <v>930</v>
      </c>
      <c r="D150" t="s">
        <v>18</v>
      </c>
      <c r="E150">
        <v>560034</v>
      </c>
      <c r="F150" t="s">
        <v>19</v>
      </c>
      <c r="G150" s="7">
        <v>160</v>
      </c>
      <c r="H150" s="4" t="s">
        <v>762</v>
      </c>
      <c r="I150" s="4" t="s">
        <v>998</v>
      </c>
      <c r="J150" t="s">
        <v>887</v>
      </c>
      <c r="K150" t="s">
        <v>889</v>
      </c>
      <c r="L150" s="12">
        <v>0.06</v>
      </c>
    </row>
    <row r="151" spans="1:12" ht="15.75" x14ac:dyDescent="0.25">
      <c r="A151" s="4" t="s">
        <v>12</v>
      </c>
      <c r="B151" s="4" t="s">
        <v>29</v>
      </c>
      <c r="C151" s="4" t="s">
        <v>939</v>
      </c>
      <c r="D151" t="s">
        <v>18</v>
      </c>
      <c r="E151">
        <v>560034</v>
      </c>
      <c r="F151" t="s">
        <v>19</v>
      </c>
      <c r="G151" s="7">
        <v>188</v>
      </c>
      <c r="H151" s="4" t="s">
        <v>993</v>
      </c>
      <c r="I151" s="4" t="s">
        <v>1002</v>
      </c>
      <c r="J151" t="s">
        <v>887</v>
      </c>
      <c r="K151" t="s">
        <v>889</v>
      </c>
      <c r="L151" s="12">
        <v>0.34</v>
      </c>
    </row>
    <row r="152" spans="1:12" ht="15.75" x14ac:dyDescent="0.25">
      <c r="A152" t="str">
        <f>LEFT(B152, FIND(" ",B152)-1)</f>
        <v>Earth</v>
      </c>
      <c r="B152" s="4" t="s">
        <v>444</v>
      </c>
      <c r="C152" s="4" t="s">
        <v>110</v>
      </c>
      <c r="D152" t="s">
        <v>837</v>
      </c>
      <c r="E152">
        <v>560034</v>
      </c>
      <c r="F152" t="s">
        <v>19</v>
      </c>
      <c r="G152" s="7" t="s">
        <v>657</v>
      </c>
      <c r="H152" s="10" t="s">
        <v>570</v>
      </c>
      <c r="I152" s="4" t="s">
        <v>839</v>
      </c>
      <c r="J152" t="s">
        <v>887</v>
      </c>
      <c r="K152" s="4" t="s">
        <v>889</v>
      </c>
      <c r="L152" s="12">
        <v>0.09</v>
      </c>
    </row>
    <row r="153" spans="1:12" x14ac:dyDescent="0.25">
      <c r="A153" t="s">
        <v>894</v>
      </c>
      <c r="B153" t="s">
        <v>895</v>
      </c>
      <c r="C153" t="s">
        <v>932</v>
      </c>
      <c r="D153" t="s">
        <v>18</v>
      </c>
      <c r="E153">
        <v>560034</v>
      </c>
      <c r="F153" t="s">
        <v>19</v>
      </c>
      <c r="G153" s="6">
        <v>398</v>
      </c>
      <c r="H153" t="s">
        <v>604</v>
      </c>
      <c r="I153" t="s">
        <v>950</v>
      </c>
      <c r="J153" t="s">
        <v>887</v>
      </c>
      <c r="K153" t="s">
        <v>889</v>
      </c>
      <c r="L153" s="12">
        <v>0.33</v>
      </c>
    </row>
    <row r="154" spans="1:12" x14ac:dyDescent="0.25">
      <c r="A154" t="s">
        <v>894</v>
      </c>
      <c r="B154" t="s">
        <v>895</v>
      </c>
      <c r="C154" t="s">
        <v>932</v>
      </c>
      <c r="D154" t="s">
        <v>18</v>
      </c>
      <c r="E154">
        <v>560034</v>
      </c>
      <c r="F154" t="s">
        <v>19</v>
      </c>
      <c r="G154" s="6">
        <v>398</v>
      </c>
      <c r="H154" t="s">
        <v>604</v>
      </c>
      <c r="I154" t="s">
        <v>950</v>
      </c>
      <c r="J154" t="s">
        <v>887</v>
      </c>
      <c r="K154" t="s">
        <v>889</v>
      </c>
      <c r="L154" s="12">
        <v>0.33</v>
      </c>
    </row>
    <row r="155" spans="1:12" x14ac:dyDescent="0.25">
      <c r="A155" t="s">
        <v>894</v>
      </c>
      <c r="B155" t="s">
        <v>919</v>
      </c>
      <c r="C155" t="s">
        <v>932</v>
      </c>
      <c r="D155" t="s">
        <v>18</v>
      </c>
      <c r="E155">
        <v>560034</v>
      </c>
      <c r="F155" t="s">
        <v>19</v>
      </c>
      <c r="G155" s="6">
        <v>361</v>
      </c>
      <c r="H155" t="s">
        <v>604</v>
      </c>
      <c r="I155" t="s">
        <v>962</v>
      </c>
      <c r="J155" t="s">
        <v>887</v>
      </c>
      <c r="K155" t="s">
        <v>889</v>
      </c>
      <c r="L155" s="12">
        <v>0.39</v>
      </c>
    </row>
    <row r="156" spans="1:12" x14ac:dyDescent="0.25">
      <c r="A156" t="s">
        <v>894</v>
      </c>
      <c r="B156" t="s">
        <v>919</v>
      </c>
      <c r="C156" t="s">
        <v>932</v>
      </c>
      <c r="D156" t="s">
        <v>18</v>
      </c>
      <c r="E156">
        <v>560034</v>
      </c>
      <c r="F156" t="s">
        <v>19</v>
      </c>
      <c r="G156" s="6">
        <v>361</v>
      </c>
      <c r="H156" t="s">
        <v>604</v>
      </c>
      <c r="I156" t="s">
        <v>962</v>
      </c>
      <c r="J156" t="s">
        <v>887</v>
      </c>
      <c r="K156" t="s">
        <v>889</v>
      </c>
      <c r="L156" s="12">
        <v>0.39</v>
      </c>
    </row>
    <row r="157" spans="1:12" ht="15.75" x14ac:dyDescent="0.25">
      <c r="A157" t="str">
        <f>LEFT(B157, FIND(" ",B157)-1)</f>
        <v>Emami</v>
      </c>
      <c r="B157" s="4" t="s">
        <v>306</v>
      </c>
      <c r="C157" s="4" t="s">
        <v>234</v>
      </c>
      <c r="D157" t="s">
        <v>837</v>
      </c>
      <c r="E157">
        <v>560034</v>
      </c>
      <c r="F157" t="s">
        <v>19</v>
      </c>
      <c r="G157" s="7" t="s">
        <v>612</v>
      </c>
      <c r="H157" s="10" t="s">
        <v>641</v>
      </c>
      <c r="I157" s="4" t="s">
        <v>873</v>
      </c>
      <c r="J157" t="s">
        <v>887</v>
      </c>
      <c r="K157" s="4" t="s">
        <v>889</v>
      </c>
      <c r="L157" s="12">
        <v>0.56999999999999995</v>
      </c>
    </row>
    <row r="158" spans="1:12" ht="15.75" x14ac:dyDescent="0.25">
      <c r="A158" t="str">
        <f>LEFT(B158, FIND(" ",B158)-1)</f>
        <v>Fix</v>
      </c>
      <c r="B158" s="4" t="s">
        <v>465</v>
      </c>
      <c r="C158" s="4" t="s">
        <v>466</v>
      </c>
      <c r="D158" t="s">
        <v>837</v>
      </c>
      <c r="E158">
        <v>560034</v>
      </c>
      <c r="F158" t="s">
        <v>19</v>
      </c>
      <c r="G158" s="7" t="s">
        <v>783</v>
      </c>
      <c r="H158" s="10" t="s">
        <v>703</v>
      </c>
      <c r="I158" s="4" t="s">
        <v>877</v>
      </c>
      <c r="J158" t="s">
        <v>887</v>
      </c>
      <c r="K158" s="4" t="s">
        <v>888</v>
      </c>
      <c r="L158" s="12">
        <v>0.05</v>
      </c>
    </row>
    <row r="159" spans="1:12" ht="15.75" x14ac:dyDescent="0.25">
      <c r="A159" t="str">
        <f>LEFT(B159, FIND(" ",B159)-1)</f>
        <v>Fix</v>
      </c>
      <c r="B159" s="4" t="s">
        <v>492</v>
      </c>
      <c r="C159" s="4" t="s">
        <v>83</v>
      </c>
      <c r="D159" t="s">
        <v>837</v>
      </c>
      <c r="E159">
        <v>560034</v>
      </c>
      <c r="F159" t="s">
        <v>19</v>
      </c>
      <c r="G159" s="7" t="s">
        <v>590</v>
      </c>
      <c r="H159" s="10" t="s">
        <v>803</v>
      </c>
      <c r="I159" s="4" t="s">
        <v>865</v>
      </c>
      <c r="J159" t="s">
        <v>887</v>
      </c>
      <c r="K159" s="4" t="s">
        <v>889</v>
      </c>
      <c r="L159" s="12">
        <v>0.52</v>
      </c>
    </row>
    <row r="160" spans="1:12" ht="15.75" x14ac:dyDescent="0.25">
      <c r="A160" t="str">
        <f>LEFT(B160, FIND(" ",B160)-1)</f>
        <v>Forest</v>
      </c>
      <c r="B160" s="4" t="s">
        <v>311</v>
      </c>
      <c r="C160" s="4" t="s">
        <v>222</v>
      </c>
      <c r="D160" t="s">
        <v>837</v>
      </c>
      <c r="E160">
        <v>560034</v>
      </c>
      <c r="F160" t="s">
        <v>19</v>
      </c>
      <c r="G160" s="7" t="s">
        <v>645</v>
      </c>
      <c r="H160" s="10" t="s">
        <v>98</v>
      </c>
      <c r="I160" s="4" t="s">
        <v>98</v>
      </c>
      <c r="J160" t="s">
        <v>887</v>
      </c>
      <c r="K160" s="4" t="s">
        <v>889</v>
      </c>
      <c r="L160" t="s">
        <v>106</v>
      </c>
    </row>
    <row r="161" spans="1:12" ht="15.75" x14ac:dyDescent="0.25">
      <c r="A161" s="4" t="s">
        <v>1033</v>
      </c>
      <c r="B161" s="4" t="s">
        <v>1034</v>
      </c>
      <c r="C161" s="4" t="s">
        <v>992</v>
      </c>
      <c r="D161" t="s">
        <v>18</v>
      </c>
      <c r="E161">
        <v>560034</v>
      </c>
      <c r="F161" t="s">
        <v>19</v>
      </c>
      <c r="G161" s="7">
        <v>485</v>
      </c>
      <c r="H161" s="4" t="s">
        <v>611</v>
      </c>
      <c r="I161" s="4" t="s">
        <v>1004</v>
      </c>
      <c r="J161" t="s">
        <v>887</v>
      </c>
      <c r="K161" t="s">
        <v>889</v>
      </c>
      <c r="L161" s="12">
        <v>0.11</v>
      </c>
    </row>
    <row r="162" spans="1:12" ht="15.75" x14ac:dyDescent="0.25">
      <c r="A162" t="str">
        <f>LEFT(B162, FIND(" ",B162)-1)</f>
        <v>GLEARA</v>
      </c>
      <c r="B162" s="4" t="s">
        <v>215</v>
      </c>
      <c r="C162" s="4" t="s">
        <v>81</v>
      </c>
      <c r="D162" t="s">
        <v>837</v>
      </c>
      <c r="E162">
        <v>560034</v>
      </c>
      <c r="F162" t="s">
        <v>19</v>
      </c>
      <c r="G162" s="11" t="s">
        <v>532</v>
      </c>
      <c r="H162" s="10" t="s">
        <v>533</v>
      </c>
      <c r="I162" s="4" t="s">
        <v>838</v>
      </c>
      <c r="J162" t="s">
        <v>887</v>
      </c>
      <c r="K162" s="4" t="s">
        <v>889</v>
      </c>
      <c r="L162" s="12">
        <v>0.12</v>
      </c>
    </row>
    <row r="163" spans="1:12" ht="15.75" x14ac:dyDescent="0.25">
      <c r="A163" t="str">
        <f>LEFT(B163, FIND(" ",B163)-1)</f>
        <v>Hair</v>
      </c>
      <c r="B163" s="4" t="s">
        <v>482</v>
      </c>
      <c r="C163" s="4" t="s">
        <v>81</v>
      </c>
      <c r="D163" t="s">
        <v>837</v>
      </c>
      <c r="E163">
        <v>560034</v>
      </c>
      <c r="F163" t="s">
        <v>19</v>
      </c>
      <c r="G163" s="7" t="s">
        <v>574</v>
      </c>
      <c r="H163" s="10" t="s">
        <v>795</v>
      </c>
      <c r="I163" s="4" t="s">
        <v>839</v>
      </c>
      <c r="J163" t="s">
        <v>887</v>
      </c>
      <c r="K163" s="4" t="s">
        <v>888</v>
      </c>
      <c r="L163" s="12">
        <v>0.09</v>
      </c>
    </row>
    <row r="164" spans="1:12" ht="15.75" x14ac:dyDescent="0.25">
      <c r="A164" t="str">
        <f>LEFT(B164, FIND(" ",B164)-1)</f>
        <v>Hamdard</v>
      </c>
      <c r="B164" s="4" t="s">
        <v>274</v>
      </c>
      <c r="C164" s="4" t="s">
        <v>222</v>
      </c>
      <c r="D164" t="s">
        <v>837</v>
      </c>
      <c r="E164">
        <v>560034</v>
      </c>
      <c r="F164" t="s">
        <v>19</v>
      </c>
      <c r="G164" s="7" t="s">
        <v>606</v>
      </c>
      <c r="H164" s="10" t="s">
        <v>98</v>
      </c>
      <c r="I164" s="4" t="s">
        <v>98</v>
      </c>
      <c r="J164" t="s">
        <v>887</v>
      </c>
      <c r="K164" s="4" t="s">
        <v>889</v>
      </c>
      <c r="L164" t="s">
        <v>106</v>
      </c>
    </row>
    <row r="165" spans="1:12" ht="15.75" x14ac:dyDescent="0.25">
      <c r="A165" t="s">
        <v>197</v>
      </c>
      <c r="B165" t="s">
        <v>94</v>
      </c>
      <c r="C165" t="s">
        <v>48</v>
      </c>
      <c r="D165" t="s">
        <v>42</v>
      </c>
      <c r="E165">
        <v>560034</v>
      </c>
      <c r="F165" t="s">
        <v>19</v>
      </c>
      <c r="G165" s="6">
        <v>176</v>
      </c>
      <c r="H165" s="9">
        <v>199</v>
      </c>
      <c r="I165" t="s">
        <v>104</v>
      </c>
      <c r="J165" t="s">
        <v>887</v>
      </c>
      <c r="K165" s="4" t="s">
        <v>889</v>
      </c>
      <c r="L165" s="12">
        <v>0.05</v>
      </c>
    </row>
    <row r="166" spans="1:12" ht="15.75" x14ac:dyDescent="0.25">
      <c r="A166" t="str">
        <f>LEFT(B166, FIND(" ",B166)-1)</f>
        <v>Head</v>
      </c>
      <c r="B166" s="4" t="s">
        <v>430</v>
      </c>
      <c r="C166" s="4" t="s">
        <v>51</v>
      </c>
      <c r="D166" t="s">
        <v>837</v>
      </c>
      <c r="E166">
        <v>560034</v>
      </c>
      <c r="F166" t="s">
        <v>19</v>
      </c>
      <c r="G166" s="7" t="s">
        <v>754</v>
      </c>
      <c r="H166" s="10" t="s">
        <v>755</v>
      </c>
      <c r="I166" s="4" t="s">
        <v>850</v>
      </c>
      <c r="J166" t="s">
        <v>887</v>
      </c>
      <c r="K166" s="4" t="s">
        <v>889</v>
      </c>
      <c r="L166" s="12">
        <v>0.55000000000000004</v>
      </c>
    </row>
    <row r="167" spans="1:12" ht="15.75" x14ac:dyDescent="0.25">
      <c r="A167" t="str">
        <f>LEFT(B167, FIND(" ",B167)-1)</f>
        <v>Head</v>
      </c>
      <c r="B167" s="4" t="s">
        <v>443</v>
      </c>
      <c r="C167" s="4" t="s">
        <v>48</v>
      </c>
      <c r="D167" t="s">
        <v>837</v>
      </c>
      <c r="E167">
        <v>560034</v>
      </c>
      <c r="F167" t="s">
        <v>19</v>
      </c>
      <c r="G167" s="7" t="s">
        <v>600</v>
      </c>
      <c r="H167" s="10" t="s">
        <v>593</v>
      </c>
      <c r="I167" s="4" t="s">
        <v>866</v>
      </c>
      <c r="J167" t="s">
        <v>887</v>
      </c>
      <c r="K167" s="4" t="s">
        <v>888</v>
      </c>
      <c r="L167" s="12">
        <v>0.11</v>
      </c>
    </row>
    <row r="168" spans="1:12" ht="15.75" x14ac:dyDescent="0.25">
      <c r="A168" t="str">
        <f>LEFT(B168, FIND(" ",B168)-1)</f>
        <v>Head</v>
      </c>
      <c r="B168" s="4" t="s">
        <v>517</v>
      </c>
      <c r="C168" s="4" t="s">
        <v>48</v>
      </c>
      <c r="D168" t="s">
        <v>837</v>
      </c>
      <c r="E168">
        <v>560034</v>
      </c>
      <c r="F168" t="s">
        <v>19</v>
      </c>
      <c r="G168" s="7" t="s">
        <v>825</v>
      </c>
      <c r="H168" s="10" t="s">
        <v>611</v>
      </c>
      <c r="I168" s="4" t="s">
        <v>857</v>
      </c>
      <c r="J168" t="s">
        <v>887</v>
      </c>
      <c r="K168" s="4" t="s">
        <v>888</v>
      </c>
      <c r="L168" s="12">
        <v>0.1</v>
      </c>
    </row>
    <row r="169" spans="1:12" ht="15.75" x14ac:dyDescent="0.25">
      <c r="A169" t="str">
        <f>LEFT(B169, FIND(" ",B169)-1)</f>
        <v>Head</v>
      </c>
      <c r="B169" s="4" t="s">
        <v>518</v>
      </c>
      <c r="C169" s="4" t="s">
        <v>51</v>
      </c>
      <c r="D169" t="s">
        <v>837</v>
      </c>
      <c r="E169">
        <v>560034</v>
      </c>
      <c r="F169" t="s">
        <v>19</v>
      </c>
      <c r="G169" s="7" t="s">
        <v>815</v>
      </c>
      <c r="H169" s="10" t="s">
        <v>627</v>
      </c>
      <c r="I169" s="4" t="s">
        <v>839</v>
      </c>
      <c r="J169" t="s">
        <v>887</v>
      </c>
      <c r="K169" s="4" t="s">
        <v>889</v>
      </c>
      <c r="L169" s="12">
        <v>0.09</v>
      </c>
    </row>
    <row r="170" spans="1:12" ht="15.75" x14ac:dyDescent="0.25">
      <c r="A170" t="str">
        <f>LEFT(B170, FIND(" ",B170)-1)</f>
        <v>Head</v>
      </c>
      <c r="B170" s="4" t="s">
        <v>519</v>
      </c>
      <c r="C170" s="4" t="s">
        <v>48</v>
      </c>
      <c r="D170" t="s">
        <v>837</v>
      </c>
      <c r="E170">
        <v>560034</v>
      </c>
      <c r="F170" t="s">
        <v>19</v>
      </c>
      <c r="G170" s="7" t="s">
        <v>829</v>
      </c>
      <c r="H170" s="10" t="s">
        <v>712</v>
      </c>
      <c r="I170" s="4" t="s">
        <v>864</v>
      </c>
      <c r="J170" t="s">
        <v>887</v>
      </c>
      <c r="K170" s="4" t="s">
        <v>889</v>
      </c>
      <c r="L170" s="12">
        <v>0.46</v>
      </c>
    </row>
    <row r="171" spans="1:12" ht="15.75" x14ac:dyDescent="0.25">
      <c r="A171" t="str">
        <f>LEFT(B171, FIND(" ",B171)-1)</f>
        <v>Head</v>
      </c>
      <c r="B171" s="4" t="s">
        <v>520</v>
      </c>
      <c r="C171" s="4" t="s">
        <v>78</v>
      </c>
      <c r="D171" t="s">
        <v>837</v>
      </c>
      <c r="E171">
        <v>560034</v>
      </c>
      <c r="F171" t="s">
        <v>19</v>
      </c>
      <c r="G171" s="7" t="s">
        <v>830</v>
      </c>
      <c r="H171" s="10" t="s">
        <v>627</v>
      </c>
      <c r="I171" s="4" t="s">
        <v>846</v>
      </c>
      <c r="J171" t="s">
        <v>887</v>
      </c>
      <c r="K171" s="4" t="s">
        <v>889</v>
      </c>
      <c r="L171" s="12">
        <v>0.08</v>
      </c>
    </row>
    <row r="172" spans="1:12" ht="15.75" x14ac:dyDescent="0.25">
      <c r="A172" t="str">
        <f>LEFT(B172, FIND(" ",B172)-1)</f>
        <v>Head</v>
      </c>
      <c r="B172" s="4" t="s">
        <v>521</v>
      </c>
      <c r="C172" s="4" t="s">
        <v>51</v>
      </c>
      <c r="D172" t="s">
        <v>837</v>
      </c>
      <c r="E172">
        <v>560034</v>
      </c>
      <c r="F172" t="s">
        <v>19</v>
      </c>
      <c r="G172" s="7" t="s">
        <v>818</v>
      </c>
      <c r="H172" s="10" t="s">
        <v>831</v>
      </c>
      <c r="I172" s="4" t="s">
        <v>884</v>
      </c>
      <c r="J172" t="s">
        <v>887</v>
      </c>
      <c r="K172" s="4" t="s">
        <v>889</v>
      </c>
      <c r="L172" s="12">
        <v>0.32</v>
      </c>
    </row>
    <row r="173" spans="1:12" ht="15.75" x14ac:dyDescent="0.25">
      <c r="A173" t="str">
        <f>LEFT(B173, FIND(" ",B173)-1)</f>
        <v>Head</v>
      </c>
      <c r="B173" s="4" t="s">
        <v>522</v>
      </c>
      <c r="C173" s="4" t="s">
        <v>51</v>
      </c>
      <c r="D173" t="s">
        <v>837</v>
      </c>
      <c r="E173">
        <v>560034</v>
      </c>
      <c r="F173" t="s">
        <v>19</v>
      </c>
      <c r="G173" s="7" t="s">
        <v>832</v>
      </c>
      <c r="H173" s="10" t="s">
        <v>833</v>
      </c>
      <c r="I173" s="4" t="s">
        <v>856</v>
      </c>
      <c r="J173" t="s">
        <v>887</v>
      </c>
      <c r="K173" s="4" t="s">
        <v>888</v>
      </c>
      <c r="L173" s="12">
        <v>0.44</v>
      </c>
    </row>
    <row r="174" spans="1:12" ht="15.75" x14ac:dyDescent="0.25">
      <c r="A174" t="s">
        <v>209</v>
      </c>
      <c r="B174" s="4" t="s">
        <v>70</v>
      </c>
      <c r="C174" s="4" t="s">
        <v>80</v>
      </c>
      <c r="D174" t="s">
        <v>42</v>
      </c>
      <c r="E174">
        <v>560034</v>
      </c>
      <c r="F174" t="s">
        <v>19</v>
      </c>
      <c r="G174" s="6">
        <v>79</v>
      </c>
      <c r="H174" s="9" t="s">
        <v>106</v>
      </c>
      <c r="I174" s="3" t="s">
        <v>106</v>
      </c>
      <c r="J174" t="s">
        <v>887</v>
      </c>
      <c r="K174" s="4" t="s">
        <v>889</v>
      </c>
      <c r="L174" s="12" t="s">
        <v>885</v>
      </c>
    </row>
    <row r="175" spans="1:12" ht="15.75" x14ac:dyDescent="0.25">
      <c r="A175" t="s">
        <v>209</v>
      </c>
      <c r="B175" s="4" t="s">
        <v>76</v>
      </c>
      <c r="C175" s="4" t="s">
        <v>78</v>
      </c>
      <c r="D175" t="s">
        <v>42</v>
      </c>
      <c r="E175">
        <v>560034</v>
      </c>
      <c r="F175" t="s">
        <v>19</v>
      </c>
      <c r="G175" s="6">
        <v>284</v>
      </c>
      <c r="H175" s="9" t="s">
        <v>106</v>
      </c>
      <c r="I175" s="3" t="s">
        <v>106</v>
      </c>
      <c r="J175" t="s">
        <v>887</v>
      </c>
      <c r="K175" s="4" t="s">
        <v>888</v>
      </c>
      <c r="L175" s="12" t="s">
        <v>885</v>
      </c>
    </row>
    <row r="176" spans="1:12" ht="15.75" x14ac:dyDescent="0.25">
      <c r="A176" t="s">
        <v>209</v>
      </c>
      <c r="B176" t="s">
        <v>88</v>
      </c>
      <c r="C176" t="s">
        <v>48</v>
      </c>
      <c r="D176" t="s">
        <v>42</v>
      </c>
      <c r="E176">
        <v>560034</v>
      </c>
      <c r="F176" t="s">
        <v>19</v>
      </c>
      <c r="G176" s="6">
        <v>180</v>
      </c>
      <c r="H176" s="9">
        <v>155</v>
      </c>
      <c r="I176" t="s">
        <v>103</v>
      </c>
      <c r="J176" t="s">
        <v>887</v>
      </c>
      <c r="K176" s="4" t="s">
        <v>888</v>
      </c>
      <c r="L176" s="12">
        <v>0.03</v>
      </c>
    </row>
    <row r="177" spans="1:12" ht="15.75" x14ac:dyDescent="0.25">
      <c r="A177" t="s">
        <v>209</v>
      </c>
      <c r="B177" t="s">
        <v>90</v>
      </c>
      <c r="C177" t="s">
        <v>51</v>
      </c>
      <c r="D177" t="s">
        <v>42</v>
      </c>
      <c r="E177">
        <v>560034</v>
      </c>
      <c r="F177" t="s">
        <v>19</v>
      </c>
      <c r="G177" s="6">
        <v>549</v>
      </c>
      <c r="H177" s="9">
        <v>190</v>
      </c>
      <c r="I177" t="s">
        <v>104</v>
      </c>
      <c r="J177" t="s">
        <v>887</v>
      </c>
      <c r="K177" s="4" t="s">
        <v>889</v>
      </c>
      <c r="L177" s="12">
        <v>0.05</v>
      </c>
    </row>
    <row r="178" spans="1:12" ht="15.75" x14ac:dyDescent="0.25">
      <c r="A178" t="s">
        <v>209</v>
      </c>
      <c r="B178" t="s">
        <v>88</v>
      </c>
      <c r="C178" t="s">
        <v>51</v>
      </c>
      <c r="D178" t="s">
        <v>42</v>
      </c>
      <c r="E178">
        <v>560034</v>
      </c>
      <c r="F178" t="s">
        <v>19</v>
      </c>
      <c r="G178" s="6">
        <v>539</v>
      </c>
      <c r="H178" s="9">
        <v>999</v>
      </c>
      <c r="I178" t="s">
        <v>117</v>
      </c>
      <c r="J178" t="s">
        <v>887</v>
      </c>
      <c r="K178" s="4" t="s">
        <v>889</v>
      </c>
      <c r="L178" s="12">
        <v>0.46</v>
      </c>
    </row>
    <row r="179" spans="1:12" ht="15.75" x14ac:dyDescent="0.25">
      <c r="A179" t="s">
        <v>209</v>
      </c>
      <c r="B179" t="s">
        <v>107</v>
      </c>
      <c r="C179" t="s">
        <v>80</v>
      </c>
      <c r="D179" t="s">
        <v>42</v>
      </c>
      <c r="E179">
        <v>560034</v>
      </c>
      <c r="F179" t="s">
        <v>19</v>
      </c>
      <c r="G179" s="6">
        <v>79</v>
      </c>
      <c r="H179" s="9">
        <v>1125</v>
      </c>
      <c r="I179" t="s">
        <v>118</v>
      </c>
      <c r="J179" t="s">
        <v>887</v>
      </c>
      <c r="K179" s="4" t="s">
        <v>889</v>
      </c>
      <c r="L179" s="12">
        <v>0.39</v>
      </c>
    </row>
    <row r="180" spans="1:12" ht="15.75" x14ac:dyDescent="0.25">
      <c r="A180" t="s">
        <v>209</v>
      </c>
      <c r="B180" t="s">
        <v>90</v>
      </c>
      <c r="C180" t="s">
        <v>51</v>
      </c>
      <c r="D180" t="s">
        <v>42</v>
      </c>
      <c r="E180">
        <v>560034</v>
      </c>
      <c r="F180" t="s">
        <v>19</v>
      </c>
      <c r="G180" s="6">
        <v>549</v>
      </c>
      <c r="H180" s="9">
        <v>999</v>
      </c>
      <c r="I180" t="s">
        <v>61</v>
      </c>
      <c r="J180" t="s">
        <v>887</v>
      </c>
      <c r="K180" s="4" t="s">
        <v>890</v>
      </c>
      <c r="L180" s="12">
        <v>0.45</v>
      </c>
    </row>
    <row r="181" spans="1:12" ht="15.75" x14ac:dyDescent="0.25">
      <c r="A181" t="s">
        <v>209</v>
      </c>
      <c r="B181" t="s">
        <v>76</v>
      </c>
      <c r="C181" t="s">
        <v>78</v>
      </c>
      <c r="D181" t="s">
        <v>42</v>
      </c>
      <c r="E181">
        <v>560034</v>
      </c>
      <c r="F181" t="s">
        <v>19</v>
      </c>
      <c r="G181" s="6">
        <v>284</v>
      </c>
      <c r="H181" s="9">
        <v>395</v>
      </c>
      <c r="I181" t="s">
        <v>105</v>
      </c>
      <c r="J181" t="s">
        <v>887</v>
      </c>
      <c r="K181" s="4" t="s">
        <v>888</v>
      </c>
      <c r="L181" s="12">
        <v>0.28000000000000003</v>
      </c>
    </row>
    <row r="182" spans="1:12" ht="15.75" x14ac:dyDescent="0.25">
      <c r="A182" t="s">
        <v>209</v>
      </c>
      <c r="B182" t="s">
        <v>107</v>
      </c>
      <c r="C182" t="s">
        <v>51</v>
      </c>
      <c r="D182" t="s">
        <v>42</v>
      </c>
      <c r="E182">
        <v>560034</v>
      </c>
      <c r="F182" t="s">
        <v>19</v>
      </c>
      <c r="G182" s="6">
        <v>578</v>
      </c>
      <c r="H182" s="9">
        <v>947</v>
      </c>
      <c r="I182" t="s">
        <v>119</v>
      </c>
      <c r="J182" t="s">
        <v>887</v>
      </c>
      <c r="K182" s="4" t="s">
        <v>890</v>
      </c>
      <c r="L182" s="12">
        <v>0.38</v>
      </c>
    </row>
    <row r="183" spans="1:12" ht="15.75" x14ac:dyDescent="0.25">
      <c r="A183" t="s">
        <v>209</v>
      </c>
      <c r="B183" t="s">
        <v>108</v>
      </c>
      <c r="C183" t="s">
        <v>78</v>
      </c>
      <c r="D183" t="s">
        <v>42</v>
      </c>
      <c r="E183">
        <v>560034</v>
      </c>
      <c r="F183" t="s">
        <v>19</v>
      </c>
      <c r="G183" s="6">
        <v>284</v>
      </c>
      <c r="H183" s="9">
        <v>395</v>
      </c>
      <c r="I183" t="s">
        <v>105</v>
      </c>
      <c r="J183" t="s">
        <v>887</v>
      </c>
      <c r="K183" s="4" t="s">
        <v>889</v>
      </c>
      <c r="L183" s="12">
        <v>0.28000000000000003</v>
      </c>
    </row>
    <row r="184" spans="1:12" ht="15.75" x14ac:dyDescent="0.25">
      <c r="A184" t="s">
        <v>209</v>
      </c>
      <c r="B184" t="s">
        <v>111</v>
      </c>
      <c r="C184" t="s">
        <v>51</v>
      </c>
      <c r="D184" t="s">
        <v>42</v>
      </c>
      <c r="E184">
        <v>560034</v>
      </c>
      <c r="F184" t="s">
        <v>19</v>
      </c>
      <c r="G184" s="6">
        <v>768</v>
      </c>
      <c r="H184" s="9">
        <v>1259</v>
      </c>
      <c r="I184" t="s">
        <v>119</v>
      </c>
      <c r="J184" t="s">
        <v>887</v>
      </c>
      <c r="K184" s="4" t="s">
        <v>889</v>
      </c>
      <c r="L184" s="12">
        <v>0.38</v>
      </c>
    </row>
    <row r="185" spans="1:12" ht="15.75" x14ac:dyDescent="0.25">
      <c r="A185" t="s">
        <v>209</v>
      </c>
      <c r="B185" t="s">
        <v>112</v>
      </c>
      <c r="C185" t="s">
        <v>113</v>
      </c>
      <c r="D185" t="s">
        <v>42</v>
      </c>
      <c r="E185">
        <v>560034</v>
      </c>
      <c r="F185" t="s">
        <v>19</v>
      </c>
      <c r="G185" s="6">
        <v>970</v>
      </c>
      <c r="H185" s="9">
        <v>1590</v>
      </c>
      <c r="I185" t="s">
        <v>119</v>
      </c>
      <c r="J185" t="s">
        <v>887</v>
      </c>
      <c r="K185" s="4" t="s">
        <v>890</v>
      </c>
      <c r="L185" s="12">
        <v>0.38</v>
      </c>
    </row>
    <row r="186" spans="1:12" ht="15.75" x14ac:dyDescent="0.25">
      <c r="A186" t="s">
        <v>209</v>
      </c>
      <c r="B186" t="s">
        <v>114</v>
      </c>
      <c r="C186" t="s">
        <v>113</v>
      </c>
      <c r="D186" t="s">
        <v>42</v>
      </c>
      <c r="E186">
        <v>560034</v>
      </c>
      <c r="F186" t="s">
        <v>19</v>
      </c>
      <c r="G186" s="6">
        <v>1006</v>
      </c>
      <c r="H186" s="9">
        <v>1650</v>
      </c>
      <c r="I186" t="s">
        <v>118</v>
      </c>
      <c r="J186" t="s">
        <v>887</v>
      </c>
      <c r="K186" s="4" t="s">
        <v>889</v>
      </c>
      <c r="L186" s="12">
        <v>0.39</v>
      </c>
    </row>
    <row r="187" spans="1:12" ht="15.75" x14ac:dyDescent="0.25">
      <c r="A187" t="s">
        <v>209</v>
      </c>
      <c r="B187" t="s">
        <v>115</v>
      </c>
      <c r="C187" t="s">
        <v>116</v>
      </c>
      <c r="D187" t="s">
        <v>42</v>
      </c>
      <c r="E187">
        <v>560034</v>
      </c>
      <c r="F187" t="s">
        <v>19</v>
      </c>
      <c r="G187" s="6">
        <v>705</v>
      </c>
      <c r="H187" s="9">
        <v>1155</v>
      </c>
      <c r="I187" t="s">
        <v>119</v>
      </c>
      <c r="J187" t="s">
        <v>887</v>
      </c>
      <c r="K187" s="4" t="s">
        <v>888</v>
      </c>
      <c r="L187" s="12">
        <v>0.38</v>
      </c>
    </row>
    <row r="188" spans="1:12" x14ac:dyDescent="0.25">
      <c r="A188" t="s">
        <v>15</v>
      </c>
      <c r="B188" t="s">
        <v>114</v>
      </c>
      <c r="C188" t="s">
        <v>933</v>
      </c>
      <c r="D188" t="s">
        <v>18</v>
      </c>
      <c r="E188">
        <v>560034</v>
      </c>
      <c r="F188" t="s">
        <v>19</v>
      </c>
      <c r="G188" s="6">
        <v>581</v>
      </c>
      <c r="H188" t="s">
        <v>941</v>
      </c>
      <c r="I188" t="s">
        <v>953</v>
      </c>
      <c r="J188" t="s">
        <v>887</v>
      </c>
      <c r="K188" t="s">
        <v>889</v>
      </c>
      <c r="L188" s="12">
        <v>0.49</v>
      </c>
    </row>
    <row r="189" spans="1:12" x14ac:dyDescent="0.25">
      <c r="A189" t="s">
        <v>15</v>
      </c>
      <c r="B189" t="s">
        <v>970</v>
      </c>
      <c r="C189" t="s">
        <v>933</v>
      </c>
      <c r="D189" t="s">
        <v>18</v>
      </c>
      <c r="E189">
        <v>560034</v>
      </c>
      <c r="F189" t="s">
        <v>19</v>
      </c>
      <c r="G189" s="6">
        <v>551</v>
      </c>
      <c r="H189" t="s">
        <v>712</v>
      </c>
      <c r="I189" t="s">
        <v>978</v>
      </c>
      <c r="J189" t="s">
        <v>887</v>
      </c>
      <c r="K189" t="s">
        <v>889</v>
      </c>
      <c r="L189" s="12">
        <v>0.44</v>
      </c>
    </row>
    <row r="190" spans="1:12" x14ac:dyDescent="0.25">
      <c r="A190" t="s">
        <v>15</v>
      </c>
      <c r="B190" t="s">
        <v>114</v>
      </c>
      <c r="C190" t="s">
        <v>933</v>
      </c>
      <c r="D190" t="s">
        <v>18</v>
      </c>
      <c r="E190">
        <v>560034</v>
      </c>
      <c r="F190" t="s">
        <v>19</v>
      </c>
      <c r="G190" s="6">
        <v>581</v>
      </c>
      <c r="H190" t="s">
        <v>941</v>
      </c>
      <c r="I190" t="s">
        <v>953</v>
      </c>
      <c r="J190" t="s">
        <v>887</v>
      </c>
      <c r="K190" t="s">
        <v>889</v>
      </c>
      <c r="L190" s="12">
        <v>0.49</v>
      </c>
    </row>
    <row r="191" spans="1:12" x14ac:dyDescent="0.25">
      <c r="A191" t="s">
        <v>15</v>
      </c>
      <c r="B191" t="s">
        <v>970</v>
      </c>
      <c r="C191" t="s">
        <v>933</v>
      </c>
      <c r="D191" t="s">
        <v>18</v>
      </c>
      <c r="E191">
        <v>560034</v>
      </c>
      <c r="F191" t="s">
        <v>19</v>
      </c>
      <c r="G191" s="6">
        <v>551</v>
      </c>
      <c r="H191" t="s">
        <v>712</v>
      </c>
      <c r="I191" t="s">
        <v>978</v>
      </c>
      <c r="J191" t="s">
        <v>887</v>
      </c>
      <c r="K191" t="s">
        <v>888</v>
      </c>
      <c r="L191" s="12">
        <v>0.44</v>
      </c>
    </row>
    <row r="192" spans="1:12" ht="15.75" x14ac:dyDescent="0.25">
      <c r="A192" t="s">
        <v>204</v>
      </c>
      <c r="B192" t="s">
        <v>121</v>
      </c>
      <c r="C192" t="s">
        <v>81</v>
      </c>
      <c r="D192" t="s">
        <v>42</v>
      </c>
      <c r="E192">
        <v>560034</v>
      </c>
      <c r="F192" t="s">
        <v>19</v>
      </c>
      <c r="G192" s="6">
        <v>90</v>
      </c>
      <c r="H192" s="9">
        <v>100</v>
      </c>
      <c r="I192" t="s">
        <v>133</v>
      </c>
      <c r="J192" t="s">
        <v>887</v>
      </c>
      <c r="K192" s="4" t="s">
        <v>889</v>
      </c>
      <c r="L192" s="12">
        <v>0.1</v>
      </c>
    </row>
    <row r="193" spans="1:12" ht="15.75" x14ac:dyDescent="0.25">
      <c r="A193" t="s">
        <v>204</v>
      </c>
      <c r="B193" t="s">
        <v>123</v>
      </c>
      <c r="C193" t="s">
        <v>124</v>
      </c>
      <c r="D193" t="s">
        <v>42</v>
      </c>
      <c r="E193">
        <v>560034</v>
      </c>
      <c r="F193" t="s">
        <v>19</v>
      </c>
      <c r="G193" s="6">
        <v>392</v>
      </c>
      <c r="H193" s="9">
        <v>475</v>
      </c>
      <c r="I193" t="s">
        <v>134</v>
      </c>
      <c r="J193" t="s">
        <v>887</v>
      </c>
      <c r="K193" s="4" t="s">
        <v>888</v>
      </c>
      <c r="L193" s="12">
        <v>0.17</v>
      </c>
    </row>
    <row r="194" spans="1:12" ht="15.75" x14ac:dyDescent="0.25">
      <c r="A194" t="s">
        <v>204</v>
      </c>
      <c r="B194" t="s">
        <v>125</v>
      </c>
      <c r="C194" t="s">
        <v>113</v>
      </c>
      <c r="D194" t="s">
        <v>42</v>
      </c>
      <c r="E194">
        <v>560034</v>
      </c>
      <c r="F194" t="s">
        <v>19</v>
      </c>
      <c r="G194" s="6">
        <v>794</v>
      </c>
      <c r="H194" s="9">
        <v>1059</v>
      </c>
      <c r="I194" t="s">
        <v>99</v>
      </c>
      <c r="J194" t="s">
        <v>887</v>
      </c>
      <c r="K194" s="4" t="s">
        <v>888</v>
      </c>
      <c r="L194" s="12">
        <v>0.25</v>
      </c>
    </row>
    <row r="195" spans="1:12" ht="15.75" x14ac:dyDescent="0.25">
      <c r="A195" t="s">
        <v>204</v>
      </c>
      <c r="B195" t="s">
        <v>126</v>
      </c>
      <c r="C195" t="s">
        <v>81</v>
      </c>
      <c r="D195" t="s">
        <v>42</v>
      </c>
      <c r="E195">
        <v>560034</v>
      </c>
      <c r="F195" t="s">
        <v>19</v>
      </c>
      <c r="G195" s="6">
        <v>314</v>
      </c>
      <c r="H195" s="9">
        <v>450</v>
      </c>
      <c r="I195" t="s">
        <v>57</v>
      </c>
      <c r="J195" t="s">
        <v>887</v>
      </c>
      <c r="K195" s="4" t="s">
        <v>889</v>
      </c>
      <c r="L195" s="12">
        <v>0.3</v>
      </c>
    </row>
    <row r="196" spans="1:12" ht="15.75" x14ac:dyDescent="0.25">
      <c r="A196" t="s">
        <v>204</v>
      </c>
      <c r="B196" t="s">
        <v>127</v>
      </c>
      <c r="C196" t="s">
        <v>124</v>
      </c>
      <c r="D196" t="s">
        <v>42</v>
      </c>
      <c r="E196">
        <v>560034</v>
      </c>
      <c r="F196" t="s">
        <v>19</v>
      </c>
      <c r="G196" s="6">
        <v>411</v>
      </c>
      <c r="H196" s="9">
        <v>467</v>
      </c>
      <c r="I196" t="s">
        <v>135</v>
      </c>
      <c r="J196" t="s">
        <v>887</v>
      </c>
      <c r="K196" s="4" t="s">
        <v>888</v>
      </c>
      <c r="L196" s="12">
        <v>0.11</v>
      </c>
    </row>
    <row r="197" spans="1:12" ht="15.75" x14ac:dyDescent="0.25">
      <c r="A197" t="s">
        <v>204</v>
      </c>
      <c r="B197" t="s">
        <v>128</v>
      </c>
      <c r="C197" t="s">
        <v>78</v>
      </c>
      <c r="D197" t="s">
        <v>42</v>
      </c>
      <c r="E197">
        <v>560034</v>
      </c>
      <c r="F197" t="s">
        <v>19</v>
      </c>
      <c r="G197" s="6">
        <v>284</v>
      </c>
      <c r="H197" s="9">
        <v>351</v>
      </c>
      <c r="I197" t="s">
        <v>136</v>
      </c>
      <c r="J197" t="s">
        <v>887</v>
      </c>
      <c r="K197" s="4" t="s">
        <v>889</v>
      </c>
      <c r="L197" s="12">
        <v>0.19</v>
      </c>
    </row>
    <row r="198" spans="1:12" ht="15.75" x14ac:dyDescent="0.25">
      <c r="A198" t="s">
        <v>204</v>
      </c>
      <c r="B198" t="s">
        <v>129</v>
      </c>
      <c r="C198" t="s">
        <v>48</v>
      </c>
      <c r="D198" t="s">
        <v>42</v>
      </c>
      <c r="E198">
        <v>560034</v>
      </c>
      <c r="F198" t="s">
        <v>19</v>
      </c>
      <c r="G198" s="6">
        <v>167</v>
      </c>
      <c r="H198" s="9">
        <v>199</v>
      </c>
      <c r="I198" t="s">
        <v>137</v>
      </c>
      <c r="J198" t="s">
        <v>887</v>
      </c>
      <c r="K198" s="4" t="s">
        <v>889</v>
      </c>
      <c r="L198" s="12">
        <v>0.16</v>
      </c>
    </row>
    <row r="199" spans="1:12" ht="15.75" x14ac:dyDescent="0.25">
      <c r="A199" t="s">
        <v>204</v>
      </c>
      <c r="B199" t="s">
        <v>130</v>
      </c>
      <c r="C199" t="s">
        <v>83</v>
      </c>
      <c r="D199" t="s">
        <v>42</v>
      </c>
      <c r="E199">
        <v>560034</v>
      </c>
      <c r="F199" t="s">
        <v>19</v>
      </c>
      <c r="G199" s="6">
        <v>133</v>
      </c>
      <c r="H199" s="9">
        <v>151</v>
      </c>
      <c r="I199" t="s">
        <v>135</v>
      </c>
      <c r="J199" t="s">
        <v>887</v>
      </c>
      <c r="K199" s="4" t="s">
        <v>889</v>
      </c>
      <c r="L199" s="12">
        <v>0.11</v>
      </c>
    </row>
    <row r="200" spans="1:12" ht="15.75" x14ac:dyDescent="0.25">
      <c r="A200" t="s">
        <v>204</v>
      </c>
      <c r="B200" t="s">
        <v>131</v>
      </c>
      <c r="C200" t="s">
        <v>132</v>
      </c>
      <c r="D200" t="s">
        <v>42</v>
      </c>
      <c r="E200">
        <v>560034</v>
      </c>
      <c r="F200" t="s">
        <v>19</v>
      </c>
      <c r="G200" s="6">
        <v>102</v>
      </c>
      <c r="H200" s="9">
        <v>111</v>
      </c>
      <c r="I200" t="s">
        <v>138</v>
      </c>
      <c r="J200" t="s">
        <v>887</v>
      </c>
      <c r="K200" s="4" t="s">
        <v>889</v>
      </c>
      <c r="L200" s="12">
        <v>0.08</v>
      </c>
    </row>
    <row r="201" spans="1:12" ht="15.75" x14ac:dyDescent="0.25">
      <c r="A201" t="str">
        <f>LEFT(B201, FIND(" ",B201)-1)</f>
        <v>Himalaya</v>
      </c>
      <c r="B201" s="4" t="s">
        <v>275</v>
      </c>
      <c r="C201" s="4" t="s">
        <v>83</v>
      </c>
      <c r="D201" t="s">
        <v>837</v>
      </c>
      <c r="E201">
        <v>560034</v>
      </c>
      <c r="F201" t="s">
        <v>19</v>
      </c>
      <c r="G201" s="7" t="s">
        <v>607</v>
      </c>
      <c r="H201" s="10" t="s">
        <v>536</v>
      </c>
      <c r="I201" s="4" t="s">
        <v>866</v>
      </c>
      <c r="J201" t="s">
        <v>887</v>
      </c>
      <c r="K201" s="4" t="s">
        <v>889</v>
      </c>
      <c r="L201" s="12">
        <v>0.11</v>
      </c>
    </row>
    <row r="202" spans="1:12" ht="15.75" x14ac:dyDescent="0.25">
      <c r="A202" t="str">
        <f>LEFT(B202, FIND(" ",B202)-1)</f>
        <v>Himalaya</v>
      </c>
      <c r="B202" s="4" t="s">
        <v>473</v>
      </c>
      <c r="C202" s="4" t="s">
        <v>81</v>
      </c>
      <c r="D202" t="s">
        <v>837</v>
      </c>
      <c r="E202">
        <v>560034</v>
      </c>
      <c r="F202" t="s">
        <v>19</v>
      </c>
      <c r="G202" s="7" t="s">
        <v>787</v>
      </c>
      <c r="H202" s="10" t="s">
        <v>788</v>
      </c>
      <c r="I202" s="4" t="s">
        <v>870</v>
      </c>
      <c r="J202" t="s">
        <v>887</v>
      </c>
      <c r="K202" s="4" t="s">
        <v>889</v>
      </c>
      <c r="L202" s="12">
        <v>0.48</v>
      </c>
    </row>
    <row r="203" spans="1:12" ht="15.75" x14ac:dyDescent="0.25">
      <c r="A203" t="str">
        <f>LEFT(B203, FIND(" ",B203)-1)</f>
        <v>Himalaya</v>
      </c>
      <c r="B203" s="4" t="s">
        <v>523</v>
      </c>
      <c r="C203" s="4" t="s">
        <v>78</v>
      </c>
      <c r="D203" t="s">
        <v>837</v>
      </c>
      <c r="E203">
        <v>560034</v>
      </c>
      <c r="F203" t="s">
        <v>19</v>
      </c>
      <c r="G203" s="7" t="s">
        <v>563</v>
      </c>
      <c r="H203" s="10" t="s">
        <v>712</v>
      </c>
      <c r="I203" s="4" t="s">
        <v>881</v>
      </c>
      <c r="J203" t="s">
        <v>887</v>
      </c>
      <c r="K203" s="4" t="s">
        <v>888</v>
      </c>
      <c r="L203" s="12">
        <v>0.49</v>
      </c>
    </row>
    <row r="204" spans="1:12" ht="15.75" x14ac:dyDescent="0.25">
      <c r="A204" t="s">
        <v>210</v>
      </c>
      <c r="B204" t="s">
        <v>122</v>
      </c>
      <c r="C204" t="s">
        <v>83</v>
      </c>
      <c r="D204" t="s">
        <v>42</v>
      </c>
      <c r="E204">
        <v>560034</v>
      </c>
      <c r="F204" t="s">
        <v>19</v>
      </c>
      <c r="G204" s="6">
        <v>135</v>
      </c>
      <c r="H204" s="9">
        <v>200</v>
      </c>
      <c r="I204" t="s">
        <v>102</v>
      </c>
      <c r="J204" t="s">
        <v>887</v>
      </c>
      <c r="K204" s="4" t="s">
        <v>888</v>
      </c>
      <c r="L204" s="12">
        <v>0.32</v>
      </c>
    </row>
    <row r="205" spans="1:12" ht="15.75" x14ac:dyDescent="0.25">
      <c r="A205" t="str">
        <f>LEFT(B205, FIND(" ",B205)-1)</f>
        <v>HIVADO</v>
      </c>
      <c r="B205" s="4" t="s">
        <v>516</v>
      </c>
      <c r="C205" s="4" t="s">
        <v>166</v>
      </c>
      <c r="D205" t="s">
        <v>837</v>
      </c>
      <c r="E205">
        <v>560034</v>
      </c>
      <c r="F205" t="s">
        <v>19</v>
      </c>
      <c r="G205" s="7" t="s">
        <v>763</v>
      </c>
      <c r="H205" s="10" t="s">
        <v>557</v>
      </c>
      <c r="I205" s="4" t="s">
        <v>845</v>
      </c>
      <c r="J205" t="s">
        <v>887</v>
      </c>
      <c r="K205" s="4" t="s">
        <v>889</v>
      </c>
      <c r="L205" s="12">
        <v>0.25</v>
      </c>
    </row>
    <row r="206" spans="1:12" ht="15.75" x14ac:dyDescent="0.25">
      <c r="A206" t="str">
        <f>LEFT(B206, FIND(" ",B206)-1)</f>
        <v>Inde</v>
      </c>
      <c r="B206" s="4" t="s">
        <v>221</v>
      </c>
      <c r="C206" s="4" t="s">
        <v>222</v>
      </c>
      <c r="D206" t="s">
        <v>837</v>
      </c>
      <c r="E206">
        <v>560034</v>
      </c>
      <c r="F206" t="s">
        <v>19</v>
      </c>
      <c r="G206" s="7" t="s">
        <v>540</v>
      </c>
      <c r="H206" s="10" t="s">
        <v>541</v>
      </c>
      <c r="I206" s="4" t="s">
        <v>841</v>
      </c>
      <c r="J206" t="s">
        <v>887</v>
      </c>
      <c r="K206" s="4" t="s">
        <v>888</v>
      </c>
      <c r="L206" s="12">
        <v>0.14000000000000001</v>
      </c>
    </row>
    <row r="207" spans="1:12" ht="15.75" x14ac:dyDescent="0.25">
      <c r="A207" t="str">
        <f>LEFT(B207, FIND(" ",B207)-1)</f>
        <v>Inde</v>
      </c>
      <c r="B207" s="4" t="s">
        <v>356</v>
      </c>
      <c r="C207" s="4" t="s">
        <v>222</v>
      </c>
      <c r="D207" t="s">
        <v>837</v>
      </c>
      <c r="E207">
        <v>560034</v>
      </c>
      <c r="F207" t="s">
        <v>19</v>
      </c>
      <c r="G207" s="7" t="s">
        <v>612</v>
      </c>
      <c r="H207" s="10" t="s">
        <v>552</v>
      </c>
      <c r="I207" s="4" t="s">
        <v>98</v>
      </c>
      <c r="J207" t="s">
        <v>887</v>
      </c>
      <c r="K207" s="4" t="s">
        <v>889</v>
      </c>
      <c r="L207" t="s">
        <v>106</v>
      </c>
    </row>
    <row r="208" spans="1:12" ht="15.75" x14ac:dyDescent="0.25">
      <c r="A208" t="str">
        <f>LEFT(B208, FIND(" ",B208)-1)</f>
        <v>Indic</v>
      </c>
      <c r="B208" s="4" t="s">
        <v>349</v>
      </c>
      <c r="C208" s="4" t="s">
        <v>234</v>
      </c>
      <c r="D208" t="s">
        <v>837</v>
      </c>
      <c r="E208">
        <v>560034</v>
      </c>
      <c r="F208" t="s">
        <v>19</v>
      </c>
      <c r="G208" s="7" t="s">
        <v>681</v>
      </c>
      <c r="H208" s="10" t="s">
        <v>682</v>
      </c>
      <c r="I208" s="4" t="s">
        <v>844</v>
      </c>
      <c r="J208" t="s">
        <v>887</v>
      </c>
      <c r="K208" s="4" t="s">
        <v>889</v>
      </c>
      <c r="L208" s="12">
        <v>0.35</v>
      </c>
    </row>
    <row r="209" spans="1:12" ht="15.75" x14ac:dyDescent="0.25">
      <c r="A209" t="str">
        <f>LEFT(B209, FIND(" ",B209)-1)</f>
        <v>Indulekha</v>
      </c>
      <c r="B209" s="4" t="s">
        <v>232</v>
      </c>
      <c r="C209" s="4" t="s">
        <v>83</v>
      </c>
      <c r="D209" t="s">
        <v>837</v>
      </c>
      <c r="E209">
        <v>560034</v>
      </c>
      <c r="F209" t="s">
        <v>19</v>
      </c>
      <c r="G209" s="7" t="s">
        <v>555</v>
      </c>
      <c r="H209" s="10" t="s">
        <v>556</v>
      </c>
      <c r="I209" s="4" t="s">
        <v>849</v>
      </c>
      <c r="J209" t="s">
        <v>887</v>
      </c>
      <c r="K209" s="4" t="s">
        <v>889</v>
      </c>
      <c r="L209" s="12">
        <v>0.38</v>
      </c>
    </row>
    <row r="210" spans="1:12" ht="15.75" x14ac:dyDescent="0.25">
      <c r="A210" t="str">
        <f>LEFT(B210, FIND(" ",B210)-1)</f>
        <v>Indulekha</v>
      </c>
      <c r="B210" s="4" t="s">
        <v>291</v>
      </c>
      <c r="C210" s="4" t="s">
        <v>222</v>
      </c>
      <c r="D210" t="s">
        <v>837</v>
      </c>
      <c r="E210">
        <v>560034</v>
      </c>
      <c r="F210" t="s">
        <v>19</v>
      </c>
      <c r="G210" s="7" t="s">
        <v>630</v>
      </c>
      <c r="H210" s="10" t="s">
        <v>98</v>
      </c>
      <c r="I210" s="4" t="s">
        <v>98</v>
      </c>
      <c r="J210" t="s">
        <v>887</v>
      </c>
      <c r="K210" s="4" t="s">
        <v>889</v>
      </c>
      <c r="L210" t="s">
        <v>106</v>
      </c>
    </row>
    <row r="211" spans="1:12" ht="15.75" x14ac:dyDescent="0.25">
      <c r="A211" t="str">
        <f>LEFT(B211, FIND(" ",B211)-1)</f>
        <v>Indulekha</v>
      </c>
      <c r="B211" s="4" t="s">
        <v>367</v>
      </c>
      <c r="C211" s="4" t="s">
        <v>240</v>
      </c>
      <c r="D211" t="s">
        <v>837</v>
      </c>
      <c r="E211">
        <v>560034</v>
      </c>
      <c r="F211" t="s">
        <v>19</v>
      </c>
      <c r="G211" s="7" t="s">
        <v>538</v>
      </c>
      <c r="H211" s="10" t="s">
        <v>588</v>
      </c>
      <c r="I211" s="4" t="s">
        <v>847</v>
      </c>
      <c r="J211" t="s">
        <v>887</v>
      </c>
      <c r="K211" s="4" t="s">
        <v>889</v>
      </c>
      <c r="L211" s="12">
        <v>0.24</v>
      </c>
    </row>
    <row r="212" spans="1:12" ht="15.75" x14ac:dyDescent="0.25">
      <c r="A212" t="str">
        <f>LEFT(B212, FIND(" ",B212)-1)</f>
        <v>Indulekha</v>
      </c>
      <c r="B212" s="4" t="s">
        <v>458</v>
      </c>
      <c r="C212" s="4" t="s">
        <v>83</v>
      </c>
      <c r="D212" t="s">
        <v>837</v>
      </c>
      <c r="E212">
        <v>560034</v>
      </c>
      <c r="F212" t="s">
        <v>19</v>
      </c>
      <c r="G212" s="7" t="s">
        <v>775</v>
      </c>
      <c r="H212" s="10" t="s">
        <v>776</v>
      </c>
      <c r="I212" s="4" t="s">
        <v>839</v>
      </c>
      <c r="J212" t="s">
        <v>887</v>
      </c>
      <c r="K212" s="4" t="s">
        <v>888</v>
      </c>
      <c r="L212" s="12">
        <v>0.09</v>
      </c>
    </row>
    <row r="213" spans="1:12" ht="15.75" x14ac:dyDescent="0.25">
      <c r="A213" t="str">
        <f>LEFT(B213, FIND(" ",B213)-1)</f>
        <v>Indulekha</v>
      </c>
      <c r="B213" s="4" t="s">
        <v>493</v>
      </c>
      <c r="C213" s="4" t="s">
        <v>97</v>
      </c>
      <c r="D213" t="s">
        <v>837</v>
      </c>
      <c r="E213">
        <v>560034</v>
      </c>
      <c r="F213" t="s">
        <v>19</v>
      </c>
      <c r="G213" s="7" t="s">
        <v>804</v>
      </c>
      <c r="H213" s="10" t="s">
        <v>805</v>
      </c>
      <c r="I213" s="4" t="s">
        <v>877</v>
      </c>
      <c r="J213" t="s">
        <v>887</v>
      </c>
      <c r="K213" s="4" t="s">
        <v>888</v>
      </c>
      <c r="L213" s="12">
        <v>0.05</v>
      </c>
    </row>
    <row r="214" spans="1:12" ht="15.75" x14ac:dyDescent="0.25">
      <c r="A214" t="str">
        <f>LEFT(B214, FIND(" ",B214)-1)</f>
        <v>Indulekha</v>
      </c>
      <c r="B214" s="4" t="s">
        <v>458</v>
      </c>
      <c r="C214" s="4" t="s">
        <v>48</v>
      </c>
      <c r="D214" t="s">
        <v>837</v>
      </c>
      <c r="E214">
        <v>560034</v>
      </c>
      <c r="F214" t="s">
        <v>19</v>
      </c>
      <c r="G214" s="7" t="s">
        <v>622</v>
      </c>
      <c r="H214" s="10" t="s">
        <v>680</v>
      </c>
      <c r="I214" s="4" t="s">
        <v>842</v>
      </c>
      <c r="J214" t="s">
        <v>887</v>
      </c>
      <c r="K214" s="4" t="s">
        <v>889</v>
      </c>
      <c r="L214" s="12">
        <v>0.17</v>
      </c>
    </row>
    <row r="215" spans="1:12" x14ac:dyDescent="0.25">
      <c r="A215" t="s">
        <v>917</v>
      </c>
      <c r="B215" t="s">
        <v>918</v>
      </c>
      <c r="C215" t="s">
        <v>937</v>
      </c>
      <c r="D215" t="s">
        <v>18</v>
      </c>
      <c r="E215">
        <v>560034</v>
      </c>
      <c r="F215" t="s">
        <v>19</v>
      </c>
      <c r="G215" s="6">
        <v>135</v>
      </c>
      <c r="H215" t="s">
        <v>593</v>
      </c>
      <c r="I215" t="s">
        <v>954</v>
      </c>
      <c r="J215" t="s">
        <v>887</v>
      </c>
      <c r="K215" t="s">
        <v>889</v>
      </c>
      <c r="L215" s="12">
        <v>0.2</v>
      </c>
    </row>
    <row r="216" spans="1:12" x14ac:dyDescent="0.25">
      <c r="A216" t="s">
        <v>917</v>
      </c>
      <c r="B216" t="s">
        <v>918</v>
      </c>
      <c r="C216" t="s">
        <v>937</v>
      </c>
      <c r="D216" t="s">
        <v>18</v>
      </c>
      <c r="E216">
        <v>560034</v>
      </c>
      <c r="F216" t="s">
        <v>19</v>
      </c>
      <c r="G216" s="6">
        <v>135</v>
      </c>
      <c r="H216" t="s">
        <v>98</v>
      </c>
      <c r="I216" t="s">
        <v>98</v>
      </c>
      <c r="J216" t="s">
        <v>887</v>
      </c>
      <c r="K216" t="s">
        <v>888</v>
      </c>
      <c r="L216" t="s">
        <v>106</v>
      </c>
    </row>
    <row r="217" spans="1:12" ht="15.75" x14ac:dyDescent="0.25">
      <c r="A217" t="str">
        <f>LEFT(B217, FIND(" ",B217)-1)</f>
        <v>Johnson's</v>
      </c>
      <c r="B217" s="4" t="s">
        <v>276</v>
      </c>
      <c r="C217" s="4" t="s">
        <v>81</v>
      </c>
      <c r="D217" t="s">
        <v>837</v>
      </c>
      <c r="E217">
        <v>560034</v>
      </c>
      <c r="F217" t="s">
        <v>19</v>
      </c>
      <c r="G217" s="7" t="s">
        <v>608</v>
      </c>
      <c r="H217" s="10" t="s">
        <v>609</v>
      </c>
      <c r="I217" s="4" t="s">
        <v>847</v>
      </c>
      <c r="J217" t="s">
        <v>887</v>
      </c>
      <c r="K217" s="4" t="s">
        <v>888</v>
      </c>
      <c r="L217" s="12">
        <v>0.24</v>
      </c>
    </row>
    <row r="218" spans="1:12" ht="15.75" x14ac:dyDescent="0.25">
      <c r="A218" t="str">
        <f>LEFT(B218, FIND(" ",B218)-1)</f>
        <v>Johnson's</v>
      </c>
      <c r="B218" s="4" t="s">
        <v>459</v>
      </c>
      <c r="C218" s="4" t="s">
        <v>81</v>
      </c>
      <c r="D218" t="s">
        <v>837</v>
      </c>
      <c r="E218">
        <v>560034</v>
      </c>
      <c r="F218" t="s">
        <v>19</v>
      </c>
      <c r="G218" s="7" t="s">
        <v>617</v>
      </c>
      <c r="H218" s="10" t="s">
        <v>98</v>
      </c>
      <c r="I218" s="4" t="s">
        <v>98</v>
      </c>
      <c r="J218" t="s">
        <v>887</v>
      </c>
      <c r="K218" s="4" t="s">
        <v>889</v>
      </c>
      <c r="L218" t="s">
        <v>106</v>
      </c>
    </row>
    <row r="219" spans="1:12" ht="15.75" x14ac:dyDescent="0.25">
      <c r="A219" t="str">
        <f>LEFT(B219, FIND(" ",B219)-1)</f>
        <v>Jungle</v>
      </c>
      <c r="B219" s="4" t="s">
        <v>524</v>
      </c>
      <c r="C219" s="4" t="s">
        <v>222</v>
      </c>
      <c r="D219" t="s">
        <v>837</v>
      </c>
      <c r="E219">
        <v>560034</v>
      </c>
      <c r="F219" t="s">
        <v>19</v>
      </c>
      <c r="G219" s="7" t="s">
        <v>699</v>
      </c>
      <c r="H219" s="10" t="s">
        <v>98</v>
      </c>
      <c r="I219" s="4" t="s">
        <v>98</v>
      </c>
      <c r="J219" t="s">
        <v>887</v>
      </c>
      <c r="K219" s="4" t="s">
        <v>889</v>
      </c>
      <c r="L219" t="s">
        <v>106</v>
      </c>
    </row>
    <row r="220" spans="1:12" ht="15.75" x14ac:dyDescent="0.25">
      <c r="A220" t="str">
        <f>LEFT(B220, FIND(" ",B220)-1)</f>
        <v>Kazima</v>
      </c>
      <c r="B220" s="4" t="s">
        <v>418</v>
      </c>
      <c r="C220" s="4" t="s">
        <v>240</v>
      </c>
      <c r="D220" t="s">
        <v>837</v>
      </c>
      <c r="E220">
        <v>560034</v>
      </c>
      <c r="F220" t="s">
        <v>19</v>
      </c>
      <c r="G220" s="7" t="s">
        <v>741</v>
      </c>
      <c r="H220" s="10" t="s">
        <v>742</v>
      </c>
      <c r="I220" s="4" t="s">
        <v>839</v>
      </c>
      <c r="J220" t="s">
        <v>887</v>
      </c>
      <c r="K220" s="4" t="s">
        <v>889</v>
      </c>
      <c r="L220" s="12">
        <v>0.09</v>
      </c>
    </row>
    <row r="221" spans="1:12" ht="15.75" x14ac:dyDescent="0.25">
      <c r="A221" t="str">
        <f>LEFT(B221, FIND(" ",B221)-1)</f>
        <v>Keraglo</v>
      </c>
      <c r="B221" s="4" t="s">
        <v>435</v>
      </c>
      <c r="C221" s="4" t="s">
        <v>391</v>
      </c>
      <c r="D221" t="s">
        <v>837</v>
      </c>
      <c r="E221">
        <v>560034</v>
      </c>
      <c r="F221" t="s">
        <v>19</v>
      </c>
      <c r="G221" s="7" t="s">
        <v>759</v>
      </c>
      <c r="H221" s="10" t="s">
        <v>760</v>
      </c>
      <c r="I221" s="4" t="s">
        <v>878</v>
      </c>
      <c r="J221" t="s">
        <v>887</v>
      </c>
      <c r="K221" s="4" t="s">
        <v>888</v>
      </c>
      <c r="L221" s="12">
        <v>7.0000000000000007E-2</v>
      </c>
    </row>
    <row r="222" spans="1:12" ht="15.75" x14ac:dyDescent="0.25">
      <c r="A222" t="str">
        <f>LEFT(B222, FIND(" ",B222)-1)</f>
        <v>Kesh</v>
      </c>
      <c r="B222" s="4" t="s">
        <v>305</v>
      </c>
      <c r="C222" s="4" t="s">
        <v>81</v>
      </c>
      <c r="D222" t="s">
        <v>837</v>
      </c>
      <c r="E222">
        <v>560034</v>
      </c>
      <c r="F222" t="s">
        <v>19</v>
      </c>
      <c r="G222" s="7" t="s">
        <v>549</v>
      </c>
      <c r="H222" s="10" t="s">
        <v>565</v>
      </c>
      <c r="I222" s="4" t="s">
        <v>854</v>
      </c>
      <c r="J222" t="s">
        <v>887</v>
      </c>
      <c r="K222" s="4" t="s">
        <v>888</v>
      </c>
      <c r="L222" s="12">
        <v>0.2</v>
      </c>
    </row>
    <row r="223" spans="1:12" ht="15.75" x14ac:dyDescent="0.25">
      <c r="A223" t="str">
        <f>LEFT(B223, FIND(" ",B223)-1)</f>
        <v>Kesh</v>
      </c>
      <c r="B223" s="4" t="s">
        <v>317</v>
      </c>
      <c r="C223" s="4" t="s">
        <v>45</v>
      </c>
      <c r="D223" t="s">
        <v>837</v>
      </c>
      <c r="E223">
        <v>560034</v>
      </c>
      <c r="F223" t="s">
        <v>19</v>
      </c>
      <c r="G223" s="7" t="s">
        <v>648</v>
      </c>
      <c r="H223" s="10" t="s">
        <v>649</v>
      </c>
      <c r="I223" s="4" t="s">
        <v>853</v>
      </c>
      <c r="J223" t="s">
        <v>887</v>
      </c>
      <c r="K223" s="4" t="s">
        <v>889</v>
      </c>
      <c r="L223" s="12">
        <v>0.15</v>
      </c>
    </row>
    <row r="224" spans="1:12" ht="15.75" x14ac:dyDescent="0.25">
      <c r="A224" t="str">
        <f>LEFT(B224, FIND(" ",B224)-1)</f>
        <v>Kesh</v>
      </c>
      <c r="B224" s="4" t="s">
        <v>494</v>
      </c>
      <c r="C224" s="4" t="s">
        <v>78</v>
      </c>
      <c r="D224" t="s">
        <v>837</v>
      </c>
      <c r="E224">
        <v>560034</v>
      </c>
      <c r="F224" t="s">
        <v>19</v>
      </c>
      <c r="G224" s="7" t="s">
        <v>806</v>
      </c>
      <c r="H224" s="10" t="s">
        <v>807</v>
      </c>
      <c r="I224" s="4" t="s">
        <v>870</v>
      </c>
      <c r="J224" t="s">
        <v>887</v>
      </c>
      <c r="K224" s="4" t="s">
        <v>888</v>
      </c>
      <c r="L224" s="12">
        <v>0.48</v>
      </c>
    </row>
    <row r="225" spans="1:12" x14ac:dyDescent="0.25">
      <c r="A225" t="s">
        <v>910</v>
      </c>
      <c r="B225" t="s">
        <v>911</v>
      </c>
      <c r="C225" t="s">
        <v>935</v>
      </c>
      <c r="D225" t="s">
        <v>18</v>
      </c>
      <c r="E225">
        <v>560034</v>
      </c>
      <c r="F225" t="s">
        <v>19</v>
      </c>
      <c r="G225" s="6">
        <v>374</v>
      </c>
      <c r="H225" t="s">
        <v>944</v>
      </c>
      <c r="I225" t="s">
        <v>954</v>
      </c>
      <c r="J225" t="s">
        <v>887</v>
      </c>
      <c r="K225" t="s">
        <v>889</v>
      </c>
      <c r="L225" s="12">
        <v>0.2</v>
      </c>
    </row>
    <row r="226" spans="1:12" x14ac:dyDescent="0.25">
      <c r="A226" t="s">
        <v>910</v>
      </c>
      <c r="B226" t="s">
        <v>911</v>
      </c>
      <c r="C226" t="s">
        <v>935</v>
      </c>
      <c r="D226" t="s">
        <v>18</v>
      </c>
      <c r="E226">
        <v>560034</v>
      </c>
      <c r="F226" t="s">
        <v>19</v>
      </c>
      <c r="G226" s="6">
        <v>374</v>
      </c>
      <c r="H226" t="s">
        <v>944</v>
      </c>
      <c r="I226" t="s">
        <v>954</v>
      </c>
      <c r="J226" t="s">
        <v>887</v>
      </c>
      <c r="K226" t="s">
        <v>889</v>
      </c>
      <c r="L226" s="12">
        <v>0.2</v>
      </c>
    </row>
    <row r="227" spans="1:12" ht="15.75" x14ac:dyDescent="0.25">
      <c r="A227" t="str">
        <f>LEFT(B227, FIND(" ",B227)-1)</f>
        <v>Ketocip</v>
      </c>
      <c r="B227" s="4" t="s">
        <v>454</v>
      </c>
      <c r="C227" s="4" t="s">
        <v>83</v>
      </c>
      <c r="D227" t="s">
        <v>837</v>
      </c>
      <c r="E227">
        <v>560034</v>
      </c>
      <c r="F227" t="s">
        <v>19</v>
      </c>
      <c r="G227" s="7" t="s">
        <v>767</v>
      </c>
      <c r="H227" s="10" t="s">
        <v>768</v>
      </c>
      <c r="I227" s="4" t="s">
        <v>98</v>
      </c>
      <c r="J227" t="s">
        <v>887</v>
      </c>
      <c r="K227" s="4" t="s">
        <v>889</v>
      </c>
      <c r="L227" t="s">
        <v>106</v>
      </c>
    </row>
    <row r="228" spans="1:12" ht="15.75" x14ac:dyDescent="0.25">
      <c r="A228" t="str">
        <f>LEFT(B228, FIND(" ",B228)-1)</f>
        <v>Ketomac</v>
      </c>
      <c r="B228" s="4" t="s">
        <v>432</v>
      </c>
      <c r="C228" s="4" t="s">
        <v>433</v>
      </c>
      <c r="D228" t="s">
        <v>837</v>
      </c>
      <c r="E228">
        <v>560034</v>
      </c>
      <c r="F228" t="s">
        <v>19</v>
      </c>
      <c r="G228" s="7" t="s">
        <v>663</v>
      </c>
      <c r="H228" s="10" t="s">
        <v>679</v>
      </c>
      <c r="I228" s="4" t="s">
        <v>841</v>
      </c>
      <c r="J228" t="s">
        <v>887</v>
      </c>
      <c r="K228" s="4" t="s">
        <v>889</v>
      </c>
      <c r="L228" s="12">
        <v>0.14000000000000001</v>
      </c>
    </row>
    <row r="229" spans="1:12" ht="15.75" x14ac:dyDescent="0.25">
      <c r="A229" t="str">
        <f>LEFT(B229, FIND(" ",B229)-1)</f>
        <v>Ketoscalp</v>
      </c>
      <c r="B229" s="4" t="s">
        <v>447</v>
      </c>
      <c r="C229" s="4" t="s">
        <v>83</v>
      </c>
      <c r="D229" t="s">
        <v>837</v>
      </c>
      <c r="E229">
        <v>560034</v>
      </c>
      <c r="F229" t="s">
        <v>19</v>
      </c>
      <c r="G229" s="7" t="s">
        <v>766</v>
      </c>
      <c r="H229" s="10" t="s">
        <v>539</v>
      </c>
      <c r="I229" s="4" t="s">
        <v>838</v>
      </c>
      <c r="J229" t="s">
        <v>887</v>
      </c>
      <c r="K229" s="4" t="s">
        <v>889</v>
      </c>
      <c r="L229" s="12">
        <v>0.12</v>
      </c>
    </row>
    <row r="230" spans="1:12" ht="15.75" x14ac:dyDescent="0.25">
      <c r="A230" t="str">
        <f>LEFT(B230, FIND(" ",B230)-1)</f>
        <v>Khadi</v>
      </c>
      <c r="B230" s="4" t="s">
        <v>257</v>
      </c>
      <c r="C230" s="4" t="s">
        <v>258</v>
      </c>
      <c r="D230" t="s">
        <v>837</v>
      </c>
      <c r="E230">
        <v>560034</v>
      </c>
      <c r="F230" t="s">
        <v>19</v>
      </c>
      <c r="G230" s="7" t="s">
        <v>586</v>
      </c>
      <c r="H230" s="10" t="s">
        <v>587</v>
      </c>
      <c r="I230" s="4" t="s">
        <v>861</v>
      </c>
      <c r="J230" t="s">
        <v>887</v>
      </c>
      <c r="K230" s="4" t="s">
        <v>889</v>
      </c>
      <c r="L230" s="12">
        <v>0.34</v>
      </c>
    </row>
    <row r="231" spans="1:12" ht="15.75" x14ac:dyDescent="0.25">
      <c r="A231" t="str">
        <f>LEFT(B231, FIND(" ",B231)-1)</f>
        <v>Khadi</v>
      </c>
      <c r="B231" s="4" t="s">
        <v>257</v>
      </c>
      <c r="C231" s="4" t="s">
        <v>258</v>
      </c>
      <c r="D231" t="s">
        <v>837</v>
      </c>
      <c r="E231">
        <v>560034</v>
      </c>
      <c r="F231" t="s">
        <v>19</v>
      </c>
      <c r="G231" s="7" t="s">
        <v>707</v>
      </c>
      <c r="H231" s="10" t="s">
        <v>708</v>
      </c>
      <c r="I231" s="4" t="s">
        <v>841</v>
      </c>
      <c r="J231" t="s">
        <v>887</v>
      </c>
      <c r="K231" s="4" t="s">
        <v>889</v>
      </c>
      <c r="L231" s="12">
        <v>0.14000000000000001</v>
      </c>
    </row>
    <row r="232" spans="1:12" ht="15.75" x14ac:dyDescent="0.25">
      <c r="A232" t="str">
        <f>LEFT(B232, FIND(" ",B232)-1)</f>
        <v>Khadi</v>
      </c>
      <c r="B232" s="4" t="s">
        <v>495</v>
      </c>
      <c r="C232" s="4" t="s">
        <v>258</v>
      </c>
      <c r="D232" t="s">
        <v>837</v>
      </c>
      <c r="E232">
        <v>560034</v>
      </c>
      <c r="F232" t="s">
        <v>19</v>
      </c>
      <c r="G232" s="7" t="s">
        <v>808</v>
      </c>
      <c r="H232" s="10" t="s">
        <v>809</v>
      </c>
      <c r="I232" s="4" t="s">
        <v>848</v>
      </c>
      <c r="J232" t="s">
        <v>887</v>
      </c>
      <c r="K232" s="4" t="s">
        <v>888</v>
      </c>
      <c r="L232" s="12">
        <v>0.18</v>
      </c>
    </row>
    <row r="233" spans="1:12" ht="15.75" x14ac:dyDescent="0.25">
      <c r="A233" t="str">
        <f>LEFT(B233, FIND(" ",B233)-1)</f>
        <v>KLF</v>
      </c>
      <c r="B233" s="4" t="s">
        <v>308</v>
      </c>
      <c r="C233" s="4" t="s">
        <v>234</v>
      </c>
      <c r="D233" t="s">
        <v>837</v>
      </c>
      <c r="E233">
        <v>560034</v>
      </c>
      <c r="F233" t="s">
        <v>19</v>
      </c>
      <c r="G233" s="7" t="s">
        <v>643</v>
      </c>
      <c r="H233" s="10" t="s">
        <v>98</v>
      </c>
      <c r="I233" s="4" t="s">
        <v>98</v>
      </c>
      <c r="J233" t="s">
        <v>887</v>
      </c>
      <c r="K233" s="4" t="s">
        <v>889</v>
      </c>
      <c r="L233" t="s">
        <v>106</v>
      </c>
    </row>
    <row r="234" spans="1:12" ht="15.75" x14ac:dyDescent="0.25">
      <c r="A234" t="str">
        <f>LEFT(B234, FIND(" ",B234)-1)</f>
        <v>KLF</v>
      </c>
      <c r="B234" s="4" t="s">
        <v>339</v>
      </c>
      <c r="C234" s="4" t="s">
        <v>234</v>
      </c>
      <c r="D234" t="s">
        <v>837</v>
      </c>
      <c r="E234">
        <v>560034</v>
      </c>
      <c r="F234" t="s">
        <v>19</v>
      </c>
      <c r="G234" s="7" t="s">
        <v>551</v>
      </c>
      <c r="H234" s="10" t="s">
        <v>673</v>
      </c>
      <c r="I234" s="4" t="s">
        <v>842</v>
      </c>
      <c r="J234" t="s">
        <v>887</v>
      </c>
      <c r="K234" s="4" t="s">
        <v>889</v>
      </c>
      <c r="L234" s="12">
        <v>0.17</v>
      </c>
    </row>
    <row r="235" spans="1:12" ht="15.75" x14ac:dyDescent="0.25">
      <c r="A235" t="str">
        <f>LEFT(B235, FIND(" ",B235)-1)</f>
        <v>KLF</v>
      </c>
      <c r="B235" s="4" t="s">
        <v>340</v>
      </c>
      <c r="C235" s="4" t="s">
        <v>234</v>
      </c>
      <c r="D235" t="s">
        <v>837</v>
      </c>
      <c r="E235">
        <v>560034</v>
      </c>
      <c r="F235" t="s">
        <v>19</v>
      </c>
      <c r="G235" s="7" t="s">
        <v>674</v>
      </c>
      <c r="H235" s="10" t="s">
        <v>609</v>
      </c>
      <c r="I235" s="4" t="s">
        <v>862</v>
      </c>
      <c r="J235" t="s">
        <v>887</v>
      </c>
      <c r="K235" s="4" t="s">
        <v>889</v>
      </c>
      <c r="L235" s="12">
        <v>0.19</v>
      </c>
    </row>
    <row r="236" spans="1:12" ht="15.75" x14ac:dyDescent="0.25">
      <c r="A236" t="str">
        <f>LEFT(B236, FIND(" ",B236)-1)</f>
        <v>Little</v>
      </c>
      <c r="B236" s="4" t="s">
        <v>529</v>
      </c>
      <c r="C236" s="4" t="s">
        <v>81</v>
      </c>
      <c r="D236" t="s">
        <v>837</v>
      </c>
      <c r="E236">
        <v>560034</v>
      </c>
      <c r="F236" t="s">
        <v>19</v>
      </c>
      <c r="G236" s="7" t="s">
        <v>655</v>
      </c>
      <c r="H236" s="10" t="s">
        <v>98</v>
      </c>
      <c r="I236" s="4" t="s">
        <v>98</v>
      </c>
      <c r="J236" t="s">
        <v>887</v>
      </c>
      <c r="K236" s="4" t="s">
        <v>889</v>
      </c>
      <c r="L236" t="s">
        <v>106</v>
      </c>
    </row>
    <row r="237" spans="1:12" ht="15.75" x14ac:dyDescent="0.25">
      <c r="A237" t="str">
        <f>LEFT(B237, FIND(" ",B237)-1)</f>
        <v>Livon</v>
      </c>
      <c r="B237" s="4" t="s">
        <v>335</v>
      </c>
      <c r="C237" s="4" t="s">
        <v>336</v>
      </c>
      <c r="D237" t="s">
        <v>837</v>
      </c>
      <c r="E237">
        <v>560034</v>
      </c>
      <c r="F237" t="s">
        <v>19</v>
      </c>
      <c r="G237" s="7" t="s">
        <v>628</v>
      </c>
      <c r="H237" s="10" t="s">
        <v>570</v>
      </c>
      <c r="I237" s="4" t="s">
        <v>852</v>
      </c>
      <c r="J237" t="s">
        <v>887</v>
      </c>
      <c r="K237" s="4" t="s">
        <v>889</v>
      </c>
      <c r="L237" s="12">
        <v>0.4</v>
      </c>
    </row>
    <row r="238" spans="1:12" ht="15.75" x14ac:dyDescent="0.25">
      <c r="A238" t="str">
        <f>LEFT(B238, FIND(" ",B238)-1)</f>
        <v>Livon</v>
      </c>
      <c r="B238" s="4" t="s">
        <v>363</v>
      </c>
      <c r="C238" s="4" t="s">
        <v>222</v>
      </c>
      <c r="D238" t="s">
        <v>837</v>
      </c>
      <c r="E238">
        <v>560034</v>
      </c>
      <c r="F238" t="s">
        <v>19</v>
      </c>
      <c r="G238" s="7" t="s">
        <v>658</v>
      </c>
      <c r="H238" s="10" t="s">
        <v>659</v>
      </c>
      <c r="I238" s="4" t="s">
        <v>841</v>
      </c>
      <c r="J238" t="s">
        <v>887</v>
      </c>
      <c r="K238" s="4" t="s">
        <v>889</v>
      </c>
      <c r="L238" s="12">
        <v>0.14000000000000001</v>
      </c>
    </row>
    <row r="239" spans="1:12" ht="15.75" x14ac:dyDescent="0.25">
      <c r="A239" t="str">
        <f>LEFT(B239, FIND(" ",B239)-1)</f>
        <v>Livon</v>
      </c>
      <c r="B239" s="4" t="s">
        <v>363</v>
      </c>
      <c r="C239" s="4" t="s">
        <v>83</v>
      </c>
      <c r="D239" t="s">
        <v>837</v>
      </c>
      <c r="E239">
        <v>560034</v>
      </c>
      <c r="F239" t="s">
        <v>19</v>
      </c>
      <c r="G239" s="7" t="s">
        <v>586</v>
      </c>
      <c r="H239" s="10" t="s">
        <v>587</v>
      </c>
      <c r="I239" s="4" t="s">
        <v>861</v>
      </c>
      <c r="J239" t="s">
        <v>887</v>
      </c>
      <c r="K239" s="4" t="s">
        <v>889</v>
      </c>
      <c r="L239" s="12">
        <v>0.34</v>
      </c>
    </row>
    <row r="240" spans="1:12" ht="15.75" x14ac:dyDescent="0.25">
      <c r="A240" t="str">
        <f>LEFT(B240, FIND(" ",B240)-1)</f>
        <v>Livon</v>
      </c>
      <c r="B240" s="4" t="s">
        <v>377</v>
      </c>
      <c r="C240" s="4" t="s">
        <v>83</v>
      </c>
      <c r="D240" t="s">
        <v>837</v>
      </c>
      <c r="E240">
        <v>560034</v>
      </c>
      <c r="F240" t="s">
        <v>19</v>
      </c>
      <c r="G240" s="7" t="s">
        <v>706</v>
      </c>
      <c r="H240" s="10" t="s">
        <v>641</v>
      </c>
      <c r="I240" s="4" t="s">
        <v>875</v>
      </c>
      <c r="J240" t="s">
        <v>887</v>
      </c>
      <c r="K240" s="4" t="s">
        <v>889</v>
      </c>
      <c r="L240" s="12">
        <v>0.33</v>
      </c>
    </row>
    <row r="241" spans="1:12" ht="15.75" x14ac:dyDescent="0.25">
      <c r="A241" t="str">
        <f>LEFT(B241, FIND(" ",B241)-1)</f>
        <v>Livon</v>
      </c>
      <c r="B241" s="4" t="s">
        <v>383</v>
      </c>
      <c r="C241" s="4" t="s">
        <v>222</v>
      </c>
      <c r="D241" t="s">
        <v>837</v>
      </c>
      <c r="E241">
        <v>560034</v>
      </c>
      <c r="F241" t="s">
        <v>19</v>
      </c>
      <c r="G241" s="7" t="s">
        <v>717</v>
      </c>
      <c r="H241" s="10" t="s">
        <v>655</v>
      </c>
      <c r="I241" s="4" t="s">
        <v>848</v>
      </c>
      <c r="J241" t="s">
        <v>887</v>
      </c>
      <c r="K241" s="4" t="s">
        <v>889</v>
      </c>
      <c r="L241" s="12">
        <v>0.18</v>
      </c>
    </row>
    <row r="242" spans="1:12" ht="15.75" x14ac:dyDescent="0.25">
      <c r="A242" t="str">
        <f>LEFT(B242, FIND(" ",B242)-1)</f>
        <v>Livon</v>
      </c>
      <c r="B242" s="4" t="s">
        <v>383</v>
      </c>
      <c r="C242" s="4" t="s">
        <v>83</v>
      </c>
      <c r="D242" t="s">
        <v>837</v>
      </c>
      <c r="E242">
        <v>560034</v>
      </c>
      <c r="F242" t="s">
        <v>19</v>
      </c>
      <c r="G242" s="7" t="s">
        <v>636</v>
      </c>
      <c r="H242" s="10" t="s">
        <v>570</v>
      </c>
      <c r="I242" s="4" t="s">
        <v>98</v>
      </c>
      <c r="J242" t="s">
        <v>887</v>
      </c>
      <c r="K242" s="4" t="s">
        <v>889</v>
      </c>
      <c r="L242" t="s">
        <v>106</v>
      </c>
    </row>
    <row r="243" spans="1:12" ht="15.75" x14ac:dyDescent="0.25">
      <c r="A243" t="str">
        <f>LEFT(B243, FIND(" ",B243)-1)</f>
        <v>Livon</v>
      </c>
      <c r="B243" s="4" t="s">
        <v>392</v>
      </c>
      <c r="C243" s="4" t="s">
        <v>336</v>
      </c>
      <c r="D243" t="s">
        <v>837</v>
      </c>
      <c r="E243">
        <v>560034</v>
      </c>
      <c r="F243" t="s">
        <v>19</v>
      </c>
      <c r="G243" s="7" t="s">
        <v>722</v>
      </c>
      <c r="H243" s="10" t="s">
        <v>533</v>
      </c>
      <c r="I243" s="4" t="s">
        <v>842</v>
      </c>
      <c r="J243" t="s">
        <v>887</v>
      </c>
      <c r="K243" s="4" t="s">
        <v>889</v>
      </c>
      <c r="L243" s="12">
        <v>0.17</v>
      </c>
    </row>
    <row r="244" spans="1:12" ht="15.75" x14ac:dyDescent="0.25">
      <c r="A244" t="str">
        <f>LEFT(B244, FIND(" ",B244)-1)</f>
        <v>Livon</v>
      </c>
      <c r="B244" s="4" t="s">
        <v>335</v>
      </c>
      <c r="C244" s="4" t="s">
        <v>336</v>
      </c>
      <c r="D244" t="s">
        <v>837</v>
      </c>
      <c r="E244">
        <v>560034</v>
      </c>
      <c r="F244" t="s">
        <v>19</v>
      </c>
      <c r="G244" s="7" t="s">
        <v>562</v>
      </c>
      <c r="H244" s="10" t="s">
        <v>660</v>
      </c>
      <c r="I244" s="4" t="s">
        <v>853</v>
      </c>
      <c r="J244" t="s">
        <v>887</v>
      </c>
      <c r="K244" s="4" t="s">
        <v>889</v>
      </c>
      <c r="L244" s="12">
        <v>0.15</v>
      </c>
    </row>
    <row r="245" spans="1:12" ht="15.75" x14ac:dyDescent="0.25">
      <c r="A245" t="s">
        <v>199</v>
      </c>
      <c r="B245" s="4" t="s">
        <v>73</v>
      </c>
      <c r="C245" s="4" t="s">
        <v>48</v>
      </c>
      <c r="D245" t="s">
        <v>42</v>
      </c>
      <c r="E245">
        <v>560034</v>
      </c>
      <c r="F245" t="s">
        <v>19</v>
      </c>
      <c r="G245" s="6">
        <v>180</v>
      </c>
      <c r="H245" s="9" t="s">
        <v>106</v>
      </c>
      <c r="I245" s="3" t="s">
        <v>106</v>
      </c>
      <c r="J245" t="s">
        <v>887</v>
      </c>
      <c r="K245" s="4" t="s">
        <v>889</v>
      </c>
      <c r="L245" s="12" t="s">
        <v>885</v>
      </c>
    </row>
    <row r="246" spans="1:12" ht="15.75" x14ac:dyDescent="0.25">
      <c r="A246" t="s">
        <v>199</v>
      </c>
      <c r="B246" t="s">
        <v>139</v>
      </c>
      <c r="C246" t="s">
        <v>81</v>
      </c>
      <c r="D246" t="s">
        <v>42</v>
      </c>
      <c r="E246">
        <v>560034</v>
      </c>
      <c r="F246" t="s">
        <v>19</v>
      </c>
      <c r="G246" s="6">
        <v>198</v>
      </c>
      <c r="H246" s="9">
        <v>230</v>
      </c>
      <c r="I246" t="s">
        <v>158</v>
      </c>
      <c r="J246" t="s">
        <v>887</v>
      </c>
      <c r="K246" s="4" t="s">
        <v>891</v>
      </c>
      <c r="L246" s="12">
        <v>0.13</v>
      </c>
    </row>
    <row r="247" spans="1:12" ht="15.75" x14ac:dyDescent="0.25">
      <c r="A247" t="s">
        <v>199</v>
      </c>
      <c r="B247" t="s">
        <v>140</v>
      </c>
      <c r="C247" t="s">
        <v>45</v>
      </c>
      <c r="D247" t="s">
        <v>42</v>
      </c>
      <c r="E247">
        <v>560034</v>
      </c>
      <c r="F247" t="s">
        <v>19</v>
      </c>
      <c r="G247" s="6">
        <v>700</v>
      </c>
      <c r="H247" s="9">
        <v>690</v>
      </c>
      <c r="I247" t="s">
        <v>118</v>
      </c>
      <c r="J247" t="s">
        <v>887</v>
      </c>
      <c r="K247" s="4" t="s">
        <v>889</v>
      </c>
      <c r="L247" s="12">
        <v>0.39</v>
      </c>
    </row>
    <row r="248" spans="1:12" ht="15.75" x14ac:dyDescent="0.25">
      <c r="A248" t="s">
        <v>199</v>
      </c>
      <c r="B248" t="s">
        <v>141</v>
      </c>
      <c r="C248" t="s">
        <v>81</v>
      </c>
      <c r="D248" t="s">
        <v>42</v>
      </c>
      <c r="E248">
        <v>560034</v>
      </c>
      <c r="F248" t="s">
        <v>19</v>
      </c>
      <c r="G248" s="6">
        <v>195</v>
      </c>
      <c r="H248" s="9">
        <v>210</v>
      </c>
      <c r="I248" t="s">
        <v>159</v>
      </c>
      <c r="J248" t="s">
        <v>887</v>
      </c>
      <c r="K248" s="4" t="s">
        <v>889</v>
      </c>
      <c r="L248" s="12">
        <v>7.0000000000000007E-2</v>
      </c>
    </row>
    <row r="249" spans="1:12" ht="15.75" x14ac:dyDescent="0.25">
      <c r="A249" t="s">
        <v>199</v>
      </c>
      <c r="B249" t="s">
        <v>142</v>
      </c>
      <c r="C249" t="s">
        <v>47</v>
      </c>
      <c r="D249" t="s">
        <v>42</v>
      </c>
      <c r="E249">
        <v>560034</v>
      </c>
      <c r="F249" t="s">
        <v>19</v>
      </c>
      <c r="G249" s="6">
        <v>237</v>
      </c>
      <c r="H249" s="9">
        <v>279</v>
      </c>
      <c r="I249" t="s">
        <v>120</v>
      </c>
      <c r="J249" t="s">
        <v>887</v>
      </c>
      <c r="K249" s="4" t="s">
        <v>889</v>
      </c>
      <c r="L249" s="12">
        <v>0.15</v>
      </c>
    </row>
    <row r="250" spans="1:12" ht="15.75" x14ac:dyDescent="0.25">
      <c r="A250" t="s">
        <v>199</v>
      </c>
      <c r="B250" t="s">
        <v>143</v>
      </c>
      <c r="C250" t="s">
        <v>144</v>
      </c>
      <c r="D250" t="s">
        <v>42</v>
      </c>
      <c r="E250">
        <v>560034</v>
      </c>
      <c r="F250" t="s">
        <v>19</v>
      </c>
      <c r="G250" s="6">
        <v>941</v>
      </c>
      <c r="H250" s="9">
        <v>990</v>
      </c>
      <c r="I250" t="s">
        <v>160</v>
      </c>
      <c r="J250" t="s">
        <v>887</v>
      </c>
      <c r="K250" s="4" t="s">
        <v>889</v>
      </c>
      <c r="L250" s="12">
        <v>0.04</v>
      </c>
    </row>
    <row r="251" spans="1:12" ht="15.75" x14ac:dyDescent="0.25">
      <c r="A251" t="s">
        <v>199</v>
      </c>
      <c r="B251" t="s">
        <v>145</v>
      </c>
      <c r="C251" t="s">
        <v>78</v>
      </c>
      <c r="D251" t="s">
        <v>42</v>
      </c>
      <c r="E251">
        <v>560034</v>
      </c>
      <c r="F251" t="s">
        <v>19</v>
      </c>
      <c r="G251" s="6">
        <v>301</v>
      </c>
      <c r="H251" s="9">
        <v>415</v>
      </c>
      <c r="I251" t="s">
        <v>64</v>
      </c>
      <c r="J251" t="s">
        <v>887</v>
      </c>
      <c r="K251" s="4" t="s">
        <v>889</v>
      </c>
      <c r="L251" s="12">
        <v>0.27</v>
      </c>
    </row>
    <row r="252" spans="1:12" ht="15.75" x14ac:dyDescent="0.25">
      <c r="A252" t="s">
        <v>199</v>
      </c>
      <c r="B252" t="s">
        <v>73</v>
      </c>
      <c r="C252" t="s">
        <v>48</v>
      </c>
      <c r="D252" t="s">
        <v>42</v>
      </c>
      <c r="E252">
        <v>560034</v>
      </c>
      <c r="F252" t="s">
        <v>19</v>
      </c>
      <c r="G252" s="6">
        <v>180</v>
      </c>
      <c r="H252" s="9">
        <v>190</v>
      </c>
      <c r="I252" t="s">
        <v>104</v>
      </c>
      <c r="J252" t="s">
        <v>887</v>
      </c>
      <c r="K252" s="4" t="s">
        <v>889</v>
      </c>
      <c r="L252" s="12">
        <v>0.05</v>
      </c>
    </row>
    <row r="253" spans="1:12" ht="15.75" x14ac:dyDescent="0.25">
      <c r="A253" t="s">
        <v>199</v>
      </c>
      <c r="B253" t="s">
        <v>148</v>
      </c>
      <c r="C253" t="s">
        <v>47</v>
      </c>
      <c r="D253" t="s">
        <v>42</v>
      </c>
      <c r="E253">
        <v>560034</v>
      </c>
      <c r="F253" t="s">
        <v>19</v>
      </c>
      <c r="G253" s="6">
        <v>185</v>
      </c>
      <c r="H253" s="9">
        <v>329</v>
      </c>
      <c r="I253" t="s">
        <v>161</v>
      </c>
      <c r="J253" t="s">
        <v>887</v>
      </c>
      <c r="K253" s="4" t="s">
        <v>891</v>
      </c>
      <c r="L253" s="12">
        <v>0.43</v>
      </c>
    </row>
    <row r="254" spans="1:12" ht="15.75" x14ac:dyDescent="0.25">
      <c r="A254" t="s">
        <v>199</v>
      </c>
      <c r="B254" t="s">
        <v>149</v>
      </c>
      <c r="C254" t="s">
        <v>150</v>
      </c>
      <c r="D254" t="s">
        <v>42</v>
      </c>
      <c r="E254">
        <v>560034</v>
      </c>
      <c r="F254" t="s">
        <v>19</v>
      </c>
      <c r="G254" s="6">
        <v>620</v>
      </c>
      <c r="H254" s="9">
        <v>729</v>
      </c>
      <c r="I254" t="s">
        <v>56</v>
      </c>
      <c r="J254" t="s">
        <v>887</v>
      </c>
      <c r="K254" s="4" t="s">
        <v>888</v>
      </c>
      <c r="L254" s="12">
        <v>0.14000000000000001</v>
      </c>
    </row>
    <row r="255" spans="1:12" ht="15.75" x14ac:dyDescent="0.25">
      <c r="A255" t="s">
        <v>199</v>
      </c>
      <c r="B255" t="s">
        <v>151</v>
      </c>
      <c r="C255" t="s">
        <v>78</v>
      </c>
      <c r="D255" t="s">
        <v>42</v>
      </c>
      <c r="E255">
        <v>560034</v>
      </c>
      <c r="F255" t="s">
        <v>19</v>
      </c>
      <c r="G255" s="6">
        <v>335</v>
      </c>
      <c r="H255" s="9">
        <v>440</v>
      </c>
      <c r="I255" t="s">
        <v>60</v>
      </c>
      <c r="J255" t="s">
        <v>887</v>
      </c>
      <c r="K255" s="4" t="s">
        <v>889</v>
      </c>
      <c r="L255" s="12">
        <v>0.23</v>
      </c>
    </row>
    <row r="256" spans="1:12" ht="15.75" x14ac:dyDescent="0.25">
      <c r="A256" t="s">
        <v>199</v>
      </c>
      <c r="B256" t="s">
        <v>152</v>
      </c>
      <c r="C256" t="s">
        <v>51</v>
      </c>
      <c r="D256" t="s">
        <v>42</v>
      </c>
      <c r="E256">
        <v>560034</v>
      </c>
      <c r="F256" t="s">
        <v>19</v>
      </c>
      <c r="G256" s="6">
        <v>837</v>
      </c>
      <c r="H256" s="9">
        <v>985</v>
      </c>
      <c r="I256" t="s">
        <v>120</v>
      </c>
      <c r="J256" t="s">
        <v>887</v>
      </c>
      <c r="K256" s="4" t="s">
        <v>889</v>
      </c>
      <c r="L256" s="12">
        <v>0.15</v>
      </c>
    </row>
    <row r="257" spans="1:12" ht="15.75" x14ac:dyDescent="0.25">
      <c r="A257" t="s">
        <v>199</v>
      </c>
      <c r="B257" t="s">
        <v>153</v>
      </c>
      <c r="C257" t="s">
        <v>53</v>
      </c>
      <c r="D257" t="s">
        <v>42</v>
      </c>
      <c r="E257">
        <v>560034</v>
      </c>
      <c r="F257" t="s">
        <v>19</v>
      </c>
      <c r="G257" s="6">
        <v>543</v>
      </c>
      <c r="H257" s="9">
        <v>785</v>
      </c>
      <c r="I257" t="s">
        <v>57</v>
      </c>
      <c r="J257" t="s">
        <v>887</v>
      </c>
      <c r="K257" s="4" t="s">
        <v>888</v>
      </c>
      <c r="L257" s="12">
        <v>0.3</v>
      </c>
    </row>
    <row r="258" spans="1:12" ht="15.75" x14ac:dyDescent="0.25">
      <c r="A258" t="s">
        <v>199</v>
      </c>
      <c r="B258" t="s">
        <v>154</v>
      </c>
      <c r="C258" t="s">
        <v>53</v>
      </c>
      <c r="D258" t="s">
        <v>42</v>
      </c>
      <c r="E258">
        <v>560034</v>
      </c>
      <c r="F258" t="s">
        <v>19</v>
      </c>
      <c r="G258" s="6">
        <v>486</v>
      </c>
      <c r="H258" s="9">
        <v>744</v>
      </c>
      <c r="I258" t="s">
        <v>162</v>
      </c>
      <c r="J258" t="s">
        <v>887</v>
      </c>
      <c r="K258" s="4" t="s">
        <v>889</v>
      </c>
      <c r="L258" s="12">
        <v>0.34</v>
      </c>
    </row>
    <row r="259" spans="1:12" ht="15.75" x14ac:dyDescent="0.25">
      <c r="A259" t="s">
        <v>199</v>
      </c>
      <c r="B259" t="s">
        <v>155</v>
      </c>
      <c r="C259" t="s">
        <v>156</v>
      </c>
      <c r="D259" t="s">
        <v>42</v>
      </c>
      <c r="E259">
        <v>560034</v>
      </c>
      <c r="F259" t="s">
        <v>19</v>
      </c>
      <c r="G259" s="6">
        <v>569</v>
      </c>
      <c r="H259" s="9">
        <v>729</v>
      </c>
      <c r="I259" t="s">
        <v>163</v>
      </c>
      <c r="J259" t="s">
        <v>887</v>
      </c>
      <c r="K259" s="4" t="s">
        <v>889</v>
      </c>
      <c r="L259" s="12">
        <v>0.21</v>
      </c>
    </row>
    <row r="260" spans="1:12" ht="15.75" x14ac:dyDescent="0.25">
      <c r="A260" t="s">
        <v>199</v>
      </c>
      <c r="B260" t="s">
        <v>157</v>
      </c>
      <c r="C260" t="s">
        <v>53</v>
      </c>
      <c r="D260" t="s">
        <v>42</v>
      </c>
      <c r="E260">
        <v>560034</v>
      </c>
      <c r="F260" t="s">
        <v>19</v>
      </c>
      <c r="G260" s="6">
        <v>777</v>
      </c>
      <c r="H260" s="9">
        <v>1314</v>
      </c>
      <c r="I260" t="s">
        <v>164</v>
      </c>
      <c r="J260" t="s">
        <v>887</v>
      </c>
      <c r="K260" s="4" t="s">
        <v>888</v>
      </c>
      <c r="L260" s="12">
        <v>0.4</v>
      </c>
    </row>
    <row r="261" spans="1:12" ht="15.75" x14ac:dyDescent="0.25">
      <c r="A261" t="s">
        <v>199</v>
      </c>
      <c r="B261" t="s">
        <v>194</v>
      </c>
      <c r="C261" t="s">
        <v>78</v>
      </c>
      <c r="D261" t="s">
        <v>42</v>
      </c>
      <c r="E261">
        <v>560034</v>
      </c>
      <c r="F261" t="s">
        <v>19</v>
      </c>
      <c r="G261" s="6">
        <v>415</v>
      </c>
      <c r="H261" s="9">
        <v>279</v>
      </c>
      <c r="I261" t="s">
        <v>120</v>
      </c>
      <c r="J261" t="s">
        <v>887</v>
      </c>
      <c r="K261" s="4" t="s">
        <v>889</v>
      </c>
      <c r="L261" s="12">
        <v>0.15</v>
      </c>
    </row>
    <row r="262" spans="1:12" ht="15.75" x14ac:dyDescent="0.25">
      <c r="A262" t="str">
        <f>LEFT(B262, FIND(" ",B262)-1)</f>
        <v>L'Oreal</v>
      </c>
      <c r="B262" s="4" t="s">
        <v>324</v>
      </c>
      <c r="C262" s="4" t="s">
        <v>240</v>
      </c>
      <c r="D262" t="s">
        <v>837</v>
      </c>
      <c r="E262">
        <v>560034</v>
      </c>
      <c r="F262" t="s">
        <v>19</v>
      </c>
      <c r="G262" s="7" t="s">
        <v>656</v>
      </c>
      <c r="H262" s="10" t="s">
        <v>549</v>
      </c>
      <c r="I262" s="4" t="s">
        <v>862</v>
      </c>
      <c r="J262" t="s">
        <v>887</v>
      </c>
      <c r="K262" s="4" t="s">
        <v>889</v>
      </c>
      <c r="L262" s="12">
        <v>0.19</v>
      </c>
    </row>
    <row r="263" spans="1:12" ht="15.75" x14ac:dyDescent="0.25">
      <c r="A263" t="str">
        <f>LEFT(B263, FIND(" ",B263)-1)</f>
        <v>L'Oreal</v>
      </c>
      <c r="B263" s="4" t="s">
        <v>324</v>
      </c>
      <c r="C263" s="4" t="s">
        <v>83</v>
      </c>
      <c r="D263" t="s">
        <v>837</v>
      </c>
      <c r="E263">
        <v>560034</v>
      </c>
      <c r="F263" t="s">
        <v>19</v>
      </c>
      <c r="G263" s="7" t="s">
        <v>658</v>
      </c>
      <c r="H263" s="10" t="s">
        <v>659</v>
      </c>
      <c r="I263" s="4" t="s">
        <v>841</v>
      </c>
      <c r="J263" t="s">
        <v>887</v>
      </c>
      <c r="K263" s="4" t="s">
        <v>889</v>
      </c>
      <c r="L263" s="12">
        <v>0.14000000000000001</v>
      </c>
    </row>
    <row r="264" spans="1:12" ht="15.75" x14ac:dyDescent="0.25">
      <c r="A264" t="str">
        <f>LEFT(B264, FIND(" ",B264)-1)</f>
        <v>L'Oreal</v>
      </c>
      <c r="B264" s="4" t="s">
        <v>324</v>
      </c>
      <c r="C264" s="4" t="s">
        <v>240</v>
      </c>
      <c r="D264" t="s">
        <v>837</v>
      </c>
      <c r="E264">
        <v>560034</v>
      </c>
      <c r="F264" t="s">
        <v>19</v>
      </c>
      <c r="G264" s="7" t="s">
        <v>98</v>
      </c>
      <c r="H264" s="10" t="s">
        <v>98</v>
      </c>
      <c r="I264" s="4" t="s">
        <v>98</v>
      </c>
      <c r="J264" t="s">
        <v>887</v>
      </c>
      <c r="K264" s="4" t="s">
        <v>98</v>
      </c>
      <c r="L264" t="s">
        <v>106</v>
      </c>
    </row>
    <row r="265" spans="1:12" ht="15.75" x14ac:dyDescent="0.25">
      <c r="A265" t="str">
        <f>LEFT(B265, FIND(" ",B265)-1)</f>
        <v>L'Oreal</v>
      </c>
      <c r="B265" s="4" t="s">
        <v>324</v>
      </c>
      <c r="C265" s="4" t="s">
        <v>83</v>
      </c>
      <c r="D265" t="s">
        <v>837</v>
      </c>
      <c r="E265">
        <v>560034</v>
      </c>
      <c r="F265" t="s">
        <v>19</v>
      </c>
      <c r="G265" s="7" t="s">
        <v>695</v>
      </c>
      <c r="H265" s="10" t="s">
        <v>544</v>
      </c>
      <c r="I265" s="4" t="s">
        <v>98</v>
      </c>
      <c r="J265" t="s">
        <v>887</v>
      </c>
      <c r="K265" s="4" t="s">
        <v>889</v>
      </c>
      <c r="L265" t="s">
        <v>106</v>
      </c>
    </row>
    <row r="266" spans="1:12" ht="15.75" x14ac:dyDescent="0.25">
      <c r="A266" t="str">
        <f>LEFT(B266, FIND(" ",B266)-1)</f>
        <v>L'Oreal</v>
      </c>
      <c r="B266" s="4" t="s">
        <v>374</v>
      </c>
      <c r="C266" s="4" t="s">
        <v>375</v>
      </c>
      <c r="D266" t="s">
        <v>837</v>
      </c>
      <c r="E266">
        <v>560034</v>
      </c>
      <c r="F266" t="s">
        <v>19</v>
      </c>
      <c r="G266" s="7" t="s">
        <v>560</v>
      </c>
      <c r="H266" s="10" t="s">
        <v>705</v>
      </c>
      <c r="I266" s="4" t="s">
        <v>839</v>
      </c>
      <c r="J266" t="s">
        <v>887</v>
      </c>
      <c r="K266" s="4" t="s">
        <v>889</v>
      </c>
      <c r="L266" s="12">
        <v>0.09</v>
      </c>
    </row>
    <row r="267" spans="1:12" ht="15.75" x14ac:dyDescent="0.25">
      <c r="A267" t="str">
        <f>LEFT(B267, FIND(" ",B267)-1)</f>
        <v>L'Oreal</v>
      </c>
      <c r="B267" s="4" t="s">
        <v>376</v>
      </c>
      <c r="C267" s="4" t="s">
        <v>77</v>
      </c>
      <c r="D267" t="s">
        <v>837</v>
      </c>
      <c r="E267">
        <v>560034</v>
      </c>
      <c r="F267" t="s">
        <v>19</v>
      </c>
      <c r="G267" s="7" t="s">
        <v>621</v>
      </c>
      <c r="H267" s="10" t="s">
        <v>706</v>
      </c>
      <c r="I267" s="4" t="s">
        <v>98</v>
      </c>
      <c r="J267" t="s">
        <v>887</v>
      </c>
      <c r="K267" s="4" t="s">
        <v>889</v>
      </c>
      <c r="L267" t="s">
        <v>106</v>
      </c>
    </row>
    <row r="268" spans="1:12" ht="15.75" x14ac:dyDescent="0.25">
      <c r="A268" t="str">
        <f>LEFT(B268, FIND(" ",B268)-1)</f>
        <v>L'Oreal</v>
      </c>
      <c r="B268" s="4" t="s">
        <v>376</v>
      </c>
      <c r="C268" s="4" t="s">
        <v>375</v>
      </c>
      <c r="D268" t="s">
        <v>837</v>
      </c>
      <c r="E268">
        <v>560034</v>
      </c>
      <c r="F268" t="s">
        <v>19</v>
      </c>
      <c r="G268" s="7" t="s">
        <v>720</v>
      </c>
      <c r="H268" s="10" t="s">
        <v>692</v>
      </c>
      <c r="I268" s="4" t="s">
        <v>842</v>
      </c>
      <c r="J268" t="s">
        <v>887</v>
      </c>
      <c r="K268" s="4" t="s">
        <v>889</v>
      </c>
      <c r="L268" s="12">
        <v>0.17</v>
      </c>
    </row>
    <row r="269" spans="1:12" ht="15.75" x14ac:dyDescent="0.25">
      <c r="A269" t="str">
        <f>LEFT(B269, FIND(" ",B269)-1)</f>
        <v>L'Oreal</v>
      </c>
      <c r="B269" s="4" t="s">
        <v>406</v>
      </c>
      <c r="C269" s="4" t="s">
        <v>77</v>
      </c>
      <c r="D269" t="s">
        <v>837</v>
      </c>
      <c r="E269">
        <v>560034</v>
      </c>
      <c r="F269" t="s">
        <v>19</v>
      </c>
      <c r="G269" s="7" t="s">
        <v>733</v>
      </c>
      <c r="H269" s="10" t="s">
        <v>734</v>
      </c>
      <c r="I269" s="4" t="s">
        <v>842</v>
      </c>
      <c r="J269" t="s">
        <v>887</v>
      </c>
      <c r="K269" s="4" t="s">
        <v>889</v>
      </c>
      <c r="L269" s="12">
        <v>0.17</v>
      </c>
    </row>
    <row r="270" spans="1:12" ht="15.75" x14ac:dyDescent="0.25">
      <c r="A270" t="str">
        <f>LEFT(B270, FIND(" ",B270)-1)</f>
        <v>L'Oreal</v>
      </c>
      <c r="B270" s="4" t="s">
        <v>408</v>
      </c>
      <c r="C270" s="4" t="s">
        <v>77</v>
      </c>
      <c r="D270" t="s">
        <v>837</v>
      </c>
      <c r="E270">
        <v>560034</v>
      </c>
      <c r="F270" t="s">
        <v>19</v>
      </c>
      <c r="G270" s="7" t="s">
        <v>735</v>
      </c>
      <c r="H270" s="10" t="s">
        <v>599</v>
      </c>
      <c r="I270" s="4" t="s">
        <v>877</v>
      </c>
      <c r="J270" t="s">
        <v>887</v>
      </c>
      <c r="K270" s="4" t="s">
        <v>889</v>
      </c>
      <c r="L270" s="12">
        <v>0.05</v>
      </c>
    </row>
    <row r="271" spans="1:12" ht="15.75" x14ac:dyDescent="0.25">
      <c r="A271" t="str">
        <f>LEFT(B271, FIND(" ",B271)-1)</f>
        <v>L'Oreal</v>
      </c>
      <c r="B271" s="4" t="s">
        <v>436</v>
      </c>
      <c r="C271" s="4" t="s">
        <v>81</v>
      </c>
      <c r="D271" t="s">
        <v>837</v>
      </c>
      <c r="E271">
        <v>560034</v>
      </c>
      <c r="F271" t="s">
        <v>19</v>
      </c>
      <c r="G271" s="7" t="s">
        <v>762</v>
      </c>
      <c r="H271" s="10" t="s">
        <v>98</v>
      </c>
      <c r="I271" s="4" t="s">
        <v>98</v>
      </c>
      <c r="J271" t="s">
        <v>887</v>
      </c>
      <c r="K271" s="4" t="s">
        <v>889</v>
      </c>
      <c r="L271" t="s">
        <v>106</v>
      </c>
    </row>
    <row r="272" spans="1:12" ht="15.75" x14ac:dyDescent="0.25">
      <c r="A272" t="str">
        <f>LEFT(B272, FIND(" ",B272)-1)</f>
        <v>L'Oreal</v>
      </c>
      <c r="B272" s="4" t="s">
        <v>439</v>
      </c>
      <c r="C272" s="4" t="s">
        <v>81</v>
      </c>
      <c r="D272" t="s">
        <v>837</v>
      </c>
      <c r="E272">
        <v>560034</v>
      </c>
      <c r="F272" t="s">
        <v>19</v>
      </c>
      <c r="G272" s="7" t="s">
        <v>600</v>
      </c>
      <c r="H272" s="10" t="s">
        <v>98</v>
      </c>
      <c r="I272" s="4" t="s">
        <v>98</v>
      </c>
      <c r="J272" t="s">
        <v>887</v>
      </c>
      <c r="K272" s="4" t="s">
        <v>890</v>
      </c>
      <c r="L272" t="s">
        <v>1043</v>
      </c>
    </row>
    <row r="273" spans="1:12" ht="15.75" x14ac:dyDescent="0.25">
      <c r="A273" t="str">
        <f>LEFT(B273, FIND(" ",B273)-1)</f>
        <v>L'Oreal</v>
      </c>
      <c r="B273" s="4" t="s">
        <v>445</v>
      </c>
      <c r="C273" s="4" t="s">
        <v>81</v>
      </c>
      <c r="D273" t="s">
        <v>837</v>
      </c>
      <c r="E273">
        <v>560034</v>
      </c>
      <c r="F273" t="s">
        <v>19</v>
      </c>
      <c r="G273" s="7" t="s">
        <v>630</v>
      </c>
      <c r="H273" s="10" t="s">
        <v>546</v>
      </c>
      <c r="I273" s="4" t="s">
        <v>860</v>
      </c>
      <c r="J273" t="s">
        <v>887</v>
      </c>
      <c r="K273" s="4" t="s">
        <v>888</v>
      </c>
      <c r="L273" s="12">
        <v>0.3</v>
      </c>
    </row>
    <row r="274" spans="1:12" ht="15.75" x14ac:dyDescent="0.25">
      <c r="A274" t="str">
        <f>LEFT(B274, FIND(" ",B274)-1)</f>
        <v>L'Oreal</v>
      </c>
      <c r="B274" s="4" t="s">
        <v>145</v>
      </c>
      <c r="C274" s="4" t="s">
        <v>78</v>
      </c>
      <c r="D274" t="s">
        <v>837</v>
      </c>
      <c r="E274">
        <v>560034</v>
      </c>
      <c r="F274" t="s">
        <v>19</v>
      </c>
      <c r="G274" s="7" t="s">
        <v>778</v>
      </c>
      <c r="H274" s="10" t="s">
        <v>597</v>
      </c>
      <c r="I274" s="4" t="s">
        <v>882</v>
      </c>
      <c r="J274" t="s">
        <v>887</v>
      </c>
      <c r="K274" s="4" t="s">
        <v>888</v>
      </c>
      <c r="L274" s="12">
        <v>0.26</v>
      </c>
    </row>
    <row r="275" spans="1:12" ht="15.75" x14ac:dyDescent="0.25">
      <c r="A275" t="str">
        <f>LEFT(B275, FIND(" ",B275)-1)</f>
        <v>L'Oreal</v>
      </c>
      <c r="B275" s="4" t="s">
        <v>470</v>
      </c>
      <c r="C275" s="4" t="s">
        <v>78</v>
      </c>
      <c r="D275" t="s">
        <v>837</v>
      </c>
      <c r="E275">
        <v>560034</v>
      </c>
      <c r="F275" t="s">
        <v>19</v>
      </c>
      <c r="G275" s="7" t="s">
        <v>557</v>
      </c>
      <c r="H275" s="10" t="s">
        <v>786</v>
      </c>
      <c r="I275" s="4" t="s">
        <v>879</v>
      </c>
      <c r="J275" t="s">
        <v>887</v>
      </c>
      <c r="K275" s="4" t="s">
        <v>891</v>
      </c>
      <c r="L275" s="12">
        <v>0.13</v>
      </c>
    </row>
    <row r="276" spans="1:12" ht="15.75" x14ac:dyDescent="0.25">
      <c r="A276" t="str">
        <f>LEFT(B276, FIND(" ",B276)-1)</f>
        <v>L'Oreal</v>
      </c>
      <c r="B276" s="4" t="s">
        <v>439</v>
      </c>
      <c r="C276" s="4" t="s">
        <v>78</v>
      </c>
      <c r="D276" t="s">
        <v>837</v>
      </c>
      <c r="E276">
        <v>560034</v>
      </c>
      <c r="F276" t="s">
        <v>19</v>
      </c>
      <c r="G276" s="7" t="s">
        <v>546</v>
      </c>
      <c r="H276" s="10" t="s">
        <v>566</v>
      </c>
      <c r="I276" s="4" t="s">
        <v>851</v>
      </c>
      <c r="J276" t="s">
        <v>887</v>
      </c>
      <c r="K276" s="4" t="s">
        <v>889</v>
      </c>
      <c r="L276" s="12">
        <v>0.23</v>
      </c>
    </row>
    <row r="277" spans="1:12" ht="15.75" x14ac:dyDescent="0.25">
      <c r="A277" t="str">
        <f>LEFT(B277, FIND(" ",B277)-1)</f>
        <v>L'Oreal</v>
      </c>
      <c r="B277" s="4" t="s">
        <v>474</v>
      </c>
      <c r="C277" s="4" t="s">
        <v>48</v>
      </c>
      <c r="D277" t="s">
        <v>837</v>
      </c>
      <c r="E277">
        <v>560034</v>
      </c>
      <c r="F277" t="s">
        <v>19</v>
      </c>
      <c r="G277" s="7" t="s">
        <v>594</v>
      </c>
      <c r="H277" s="10" t="s">
        <v>789</v>
      </c>
      <c r="I277" s="4" t="s">
        <v>860</v>
      </c>
      <c r="J277" t="s">
        <v>887</v>
      </c>
      <c r="K277" s="4" t="s">
        <v>889</v>
      </c>
      <c r="L277" s="12">
        <v>0.3</v>
      </c>
    </row>
    <row r="278" spans="1:12" ht="15.75" x14ac:dyDescent="0.25">
      <c r="A278" t="str">
        <f>LEFT(B278, FIND(" ",B278)-1)</f>
        <v>L'Oreal</v>
      </c>
      <c r="B278" s="4" t="s">
        <v>496</v>
      </c>
      <c r="C278" s="4" t="s">
        <v>51</v>
      </c>
      <c r="D278" t="s">
        <v>837</v>
      </c>
      <c r="E278">
        <v>560034</v>
      </c>
      <c r="F278" t="s">
        <v>19</v>
      </c>
      <c r="G278" s="7" t="s">
        <v>547</v>
      </c>
      <c r="H278" s="10" t="s">
        <v>810</v>
      </c>
      <c r="I278" s="4" t="s">
        <v>860</v>
      </c>
      <c r="J278" t="s">
        <v>887</v>
      </c>
      <c r="K278" s="4" t="s">
        <v>889</v>
      </c>
      <c r="L278" s="12">
        <v>0.3</v>
      </c>
    </row>
    <row r="279" spans="1:12" ht="15.75" x14ac:dyDescent="0.25">
      <c r="A279" t="str">
        <f>LEFT(B279, FIND(" ",B279)-1)</f>
        <v>L'Oreal</v>
      </c>
      <c r="B279" s="4" t="s">
        <v>525</v>
      </c>
      <c r="C279" s="4" t="s">
        <v>78</v>
      </c>
      <c r="D279" t="s">
        <v>837</v>
      </c>
      <c r="E279">
        <v>560034</v>
      </c>
      <c r="F279" t="s">
        <v>19</v>
      </c>
      <c r="G279" s="7" t="s">
        <v>809</v>
      </c>
      <c r="H279" s="10" t="s">
        <v>98</v>
      </c>
      <c r="I279" s="4" t="s">
        <v>98</v>
      </c>
      <c r="J279" t="s">
        <v>887</v>
      </c>
      <c r="K279" s="4" t="s">
        <v>888</v>
      </c>
      <c r="L279" t="s">
        <v>106</v>
      </c>
    </row>
    <row r="280" spans="1:12" ht="15.75" x14ac:dyDescent="0.25">
      <c r="A280" t="str">
        <f>LEFT(B280, FIND(" ",B280)-1)</f>
        <v>L'Oreal</v>
      </c>
      <c r="B280" s="4" t="s">
        <v>526</v>
      </c>
      <c r="C280" s="4" t="s">
        <v>527</v>
      </c>
      <c r="D280" t="s">
        <v>837</v>
      </c>
      <c r="E280">
        <v>560034</v>
      </c>
      <c r="F280" t="s">
        <v>19</v>
      </c>
      <c r="G280" s="7" t="s">
        <v>834</v>
      </c>
      <c r="H280" s="10" t="s">
        <v>779</v>
      </c>
      <c r="I280" s="4" t="s">
        <v>841</v>
      </c>
      <c r="J280" t="s">
        <v>887</v>
      </c>
      <c r="K280" s="4" t="s">
        <v>889</v>
      </c>
      <c r="L280" s="12">
        <v>0.14000000000000001</v>
      </c>
    </row>
    <row r="281" spans="1:12" x14ac:dyDescent="0.25">
      <c r="A281" t="s">
        <v>199</v>
      </c>
      <c r="B281" t="s">
        <v>893</v>
      </c>
      <c r="C281" t="s">
        <v>931</v>
      </c>
      <c r="D281" t="s">
        <v>18</v>
      </c>
      <c r="E281">
        <v>560034</v>
      </c>
      <c r="F281" t="s">
        <v>19</v>
      </c>
      <c r="G281" s="6">
        <v>312</v>
      </c>
      <c r="H281" t="s">
        <v>566</v>
      </c>
      <c r="I281" t="s">
        <v>949</v>
      </c>
      <c r="J281" t="s">
        <v>887</v>
      </c>
      <c r="K281" t="s">
        <v>889</v>
      </c>
      <c r="L281" s="12">
        <v>0.28999999999999998</v>
      </c>
    </row>
    <row r="282" spans="1:12" x14ac:dyDescent="0.25">
      <c r="A282" t="s">
        <v>199</v>
      </c>
      <c r="B282" t="s">
        <v>896</v>
      </c>
      <c r="C282" t="s">
        <v>932</v>
      </c>
      <c r="D282" t="s">
        <v>18</v>
      </c>
      <c r="E282">
        <v>560034</v>
      </c>
      <c r="F282" t="s">
        <v>19</v>
      </c>
      <c r="G282" s="6">
        <v>195</v>
      </c>
      <c r="H282" t="s">
        <v>681</v>
      </c>
      <c r="I282" t="s">
        <v>951</v>
      </c>
      <c r="J282" t="s">
        <v>887</v>
      </c>
      <c r="K282" t="s">
        <v>889</v>
      </c>
      <c r="L282" s="12">
        <v>0.18</v>
      </c>
    </row>
    <row r="283" spans="1:12" x14ac:dyDescent="0.25">
      <c r="A283" t="s">
        <v>199</v>
      </c>
      <c r="B283" t="s">
        <v>897</v>
      </c>
      <c r="C283" t="s">
        <v>931</v>
      </c>
      <c r="D283" t="s">
        <v>18</v>
      </c>
      <c r="E283">
        <v>560034</v>
      </c>
      <c r="F283" t="s">
        <v>19</v>
      </c>
      <c r="G283" s="6">
        <v>301</v>
      </c>
      <c r="H283" t="s">
        <v>779</v>
      </c>
      <c r="I283" t="s">
        <v>952</v>
      </c>
      <c r="J283" t="s">
        <v>887</v>
      </c>
      <c r="K283" t="s">
        <v>889</v>
      </c>
      <c r="L283" s="12">
        <v>0.27</v>
      </c>
    </row>
    <row r="284" spans="1:12" x14ac:dyDescent="0.25">
      <c r="A284" t="s">
        <v>199</v>
      </c>
      <c r="B284" t="s">
        <v>896</v>
      </c>
      <c r="C284" t="s">
        <v>932</v>
      </c>
      <c r="D284" t="s">
        <v>18</v>
      </c>
      <c r="E284">
        <v>560034</v>
      </c>
      <c r="F284" t="s">
        <v>19</v>
      </c>
      <c r="G284" s="6">
        <v>195</v>
      </c>
      <c r="H284" t="s">
        <v>681</v>
      </c>
      <c r="I284" t="s">
        <v>951</v>
      </c>
      <c r="J284" t="s">
        <v>887</v>
      </c>
      <c r="K284" t="s">
        <v>889</v>
      </c>
      <c r="L284" s="12">
        <v>0.18</v>
      </c>
    </row>
    <row r="285" spans="1:12" x14ac:dyDescent="0.25">
      <c r="A285" t="s">
        <v>199</v>
      </c>
      <c r="B285" t="s">
        <v>897</v>
      </c>
      <c r="C285" t="s">
        <v>48</v>
      </c>
      <c r="D285" t="s">
        <v>18</v>
      </c>
      <c r="E285">
        <v>560034</v>
      </c>
      <c r="F285" t="s">
        <v>19</v>
      </c>
      <c r="G285" s="6">
        <v>180</v>
      </c>
      <c r="H285" t="s">
        <v>636</v>
      </c>
      <c r="I285" t="s">
        <v>956</v>
      </c>
      <c r="J285" t="s">
        <v>887</v>
      </c>
      <c r="K285" t="s">
        <v>889</v>
      </c>
      <c r="L285" s="12">
        <v>0.05</v>
      </c>
    </row>
    <row r="286" spans="1:12" x14ac:dyDescent="0.25">
      <c r="A286" t="s">
        <v>199</v>
      </c>
      <c r="B286" t="s">
        <v>928</v>
      </c>
      <c r="C286" t="s">
        <v>939</v>
      </c>
      <c r="D286" t="s">
        <v>18</v>
      </c>
      <c r="E286">
        <v>560034</v>
      </c>
      <c r="F286" t="s">
        <v>19</v>
      </c>
      <c r="G286" s="6">
        <v>235</v>
      </c>
      <c r="H286" t="s">
        <v>549</v>
      </c>
      <c r="I286" t="s">
        <v>966</v>
      </c>
      <c r="J286" t="s">
        <v>887</v>
      </c>
      <c r="K286" t="s">
        <v>888</v>
      </c>
      <c r="L286" s="12">
        <v>0.21</v>
      </c>
    </row>
    <row r="287" spans="1:12" x14ac:dyDescent="0.25">
      <c r="A287" t="s">
        <v>199</v>
      </c>
      <c r="B287" t="s">
        <v>896</v>
      </c>
      <c r="C287" t="s">
        <v>931</v>
      </c>
      <c r="D287" t="s">
        <v>18</v>
      </c>
      <c r="E287">
        <v>560034</v>
      </c>
      <c r="F287" t="s">
        <v>19</v>
      </c>
      <c r="G287" s="6">
        <v>349</v>
      </c>
      <c r="H287" t="s">
        <v>649</v>
      </c>
      <c r="I287" t="s">
        <v>979</v>
      </c>
      <c r="J287" t="s">
        <v>887</v>
      </c>
      <c r="K287" t="s">
        <v>889</v>
      </c>
      <c r="L287" s="12">
        <v>0.3</v>
      </c>
    </row>
    <row r="288" spans="1:12" x14ac:dyDescent="0.25">
      <c r="A288" t="s">
        <v>199</v>
      </c>
      <c r="B288" t="s">
        <v>897</v>
      </c>
      <c r="C288" t="s">
        <v>48</v>
      </c>
      <c r="D288" t="s">
        <v>18</v>
      </c>
      <c r="E288">
        <v>560034</v>
      </c>
      <c r="F288" t="s">
        <v>19</v>
      </c>
      <c r="G288" s="6">
        <v>180</v>
      </c>
      <c r="H288" t="s">
        <v>636</v>
      </c>
      <c r="I288" t="s">
        <v>956</v>
      </c>
      <c r="J288" t="s">
        <v>887</v>
      </c>
      <c r="K288" t="s">
        <v>889</v>
      </c>
      <c r="L288" s="12">
        <v>0.05</v>
      </c>
    </row>
    <row r="289" spans="1:12" x14ac:dyDescent="0.25">
      <c r="A289" t="s">
        <v>199</v>
      </c>
      <c r="B289" t="s">
        <v>928</v>
      </c>
      <c r="C289" t="s">
        <v>939</v>
      </c>
      <c r="D289" t="s">
        <v>18</v>
      </c>
      <c r="E289">
        <v>560034</v>
      </c>
      <c r="F289" t="s">
        <v>19</v>
      </c>
      <c r="G289" s="6">
        <v>235</v>
      </c>
      <c r="H289" t="s">
        <v>549</v>
      </c>
      <c r="I289" t="s">
        <v>966</v>
      </c>
      <c r="J289" t="s">
        <v>887</v>
      </c>
      <c r="K289" t="s">
        <v>889</v>
      </c>
      <c r="L289" s="12">
        <v>0.21</v>
      </c>
    </row>
    <row r="290" spans="1:12" x14ac:dyDescent="0.25">
      <c r="A290" t="s">
        <v>199</v>
      </c>
      <c r="B290" t="s">
        <v>896</v>
      </c>
      <c r="C290" t="s">
        <v>931</v>
      </c>
      <c r="D290" t="s">
        <v>18</v>
      </c>
      <c r="E290">
        <v>560034</v>
      </c>
      <c r="F290" t="s">
        <v>19</v>
      </c>
      <c r="G290" s="6">
        <v>349</v>
      </c>
      <c r="H290" t="s">
        <v>649</v>
      </c>
      <c r="I290" t="s">
        <v>979</v>
      </c>
      <c r="J290" t="s">
        <v>887</v>
      </c>
      <c r="K290" t="s">
        <v>889</v>
      </c>
      <c r="L290" s="12">
        <v>0.3</v>
      </c>
    </row>
    <row r="291" spans="1:12" x14ac:dyDescent="0.25">
      <c r="A291" t="s">
        <v>199</v>
      </c>
      <c r="B291" t="s">
        <v>897</v>
      </c>
      <c r="C291" t="s">
        <v>931</v>
      </c>
      <c r="D291" t="s">
        <v>18</v>
      </c>
      <c r="E291">
        <v>560034</v>
      </c>
      <c r="F291" t="s">
        <v>19</v>
      </c>
      <c r="G291" s="6">
        <v>301</v>
      </c>
      <c r="H291" t="s">
        <v>779</v>
      </c>
      <c r="I291" t="s">
        <v>952</v>
      </c>
      <c r="J291" t="s">
        <v>887</v>
      </c>
      <c r="K291" t="s">
        <v>888</v>
      </c>
      <c r="L291" s="12">
        <v>0.27</v>
      </c>
    </row>
    <row r="292" spans="1:12" x14ac:dyDescent="0.25">
      <c r="A292" t="s">
        <v>199</v>
      </c>
      <c r="B292" t="s">
        <v>897</v>
      </c>
      <c r="C292" t="s">
        <v>48</v>
      </c>
      <c r="D292" t="s">
        <v>18</v>
      </c>
      <c r="E292">
        <v>560034</v>
      </c>
      <c r="F292" t="s">
        <v>19</v>
      </c>
      <c r="G292" s="6">
        <v>180</v>
      </c>
      <c r="H292" t="s">
        <v>636</v>
      </c>
      <c r="I292" t="s">
        <v>956</v>
      </c>
      <c r="J292" t="s">
        <v>887</v>
      </c>
      <c r="K292" t="s">
        <v>889</v>
      </c>
      <c r="L292" s="12">
        <v>0.05</v>
      </c>
    </row>
    <row r="293" spans="1:12" ht="15.75" x14ac:dyDescent="0.25">
      <c r="A293" s="4" t="s">
        <v>199</v>
      </c>
      <c r="B293" s="4" t="s">
        <v>897</v>
      </c>
      <c r="C293" s="4" t="s">
        <v>48</v>
      </c>
      <c r="D293" t="s">
        <v>18</v>
      </c>
      <c r="E293">
        <v>560034</v>
      </c>
      <c r="F293" t="s">
        <v>19</v>
      </c>
      <c r="G293" s="7">
        <v>180</v>
      </c>
      <c r="H293" s="4" t="s">
        <v>636</v>
      </c>
      <c r="I293" s="4" t="s">
        <v>956</v>
      </c>
      <c r="J293" t="s">
        <v>887</v>
      </c>
      <c r="K293" t="s">
        <v>889</v>
      </c>
      <c r="L293" s="12">
        <v>0.05</v>
      </c>
    </row>
    <row r="294" spans="1:12" ht="15.75" x14ac:dyDescent="0.25">
      <c r="A294" s="4" t="s">
        <v>199</v>
      </c>
      <c r="B294" s="4" t="s">
        <v>896</v>
      </c>
      <c r="C294" s="4" t="s">
        <v>932</v>
      </c>
      <c r="D294" t="s">
        <v>18</v>
      </c>
      <c r="E294">
        <v>560034</v>
      </c>
      <c r="F294" t="s">
        <v>19</v>
      </c>
      <c r="G294" s="7">
        <v>195</v>
      </c>
      <c r="H294" s="4" t="s">
        <v>681</v>
      </c>
      <c r="I294" s="4" t="s">
        <v>951</v>
      </c>
      <c r="J294" t="s">
        <v>887</v>
      </c>
      <c r="K294" t="s">
        <v>888</v>
      </c>
      <c r="L294" s="12">
        <v>0.18</v>
      </c>
    </row>
    <row r="295" spans="1:12" ht="15.75" x14ac:dyDescent="0.25">
      <c r="A295" t="s">
        <v>10</v>
      </c>
      <c r="B295" t="s">
        <v>146</v>
      </c>
      <c r="C295" t="s">
        <v>147</v>
      </c>
      <c r="D295" t="s">
        <v>42</v>
      </c>
      <c r="E295">
        <v>560034</v>
      </c>
      <c r="F295" t="s">
        <v>19</v>
      </c>
      <c r="G295" s="6">
        <v>269</v>
      </c>
      <c r="H295" s="9">
        <v>440</v>
      </c>
      <c r="I295" t="s">
        <v>58</v>
      </c>
      <c r="J295" t="s">
        <v>887</v>
      </c>
      <c r="K295" s="4" t="s">
        <v>888</v>
      </c>
      <c r="L295" s="12">
        <v>0.2</v>
      </c>
    </row>
    <row r="296" spans="1:12" ht="15.75" x14ac:dyDescent="0.25">
      <c r="A296" t="str">
        <f>LEFT(B296, FIND(" ",B296)-1)</f>
        <v>L'Oréal</v>
      </c>
      <c r="B296" s="4" t="s">
        <v>295</v>
      </c>
      <c r="C296" s="4" t="s">
        <v>296</v>
      </c>
      <c r="D296" t="s">
        <v>837</v>
      </c>
      <c r="E296">
        <v>560034</v>
      </c>
      <c r="F296" t="s">
        <v>19</v>
      </c>
      <c r="G296" s="7" t="s">
        <v>635</v>
      </c>
      <c r="H296" s="10" t="s">
        <v>98</v>
      </c>
      <c r="I296" s="4" t="s">
        <v>98</v>
      </c>
      <c r="J296" t="s">
        <v>887</v>
      </c>
      <c r="K296" s="4" t="s">
        <v>889</v>
      </c>
      <c r="L296" t="s">
        <v>106</v>
      </c>
    </row>
    <row r="297" spans="1:12" ht="15.75" x14ac:dyDescent="0.25">
      <c r="A297" t="str">
        <f>LEFT(B297, FIND(" ",B297)-1)</f>
        <v>L'Oréal</v>
      </c>
      <c r="B297" s="4" t="s">
        <v>295</v>
      </c>
      <c r="C297" s="4" t="s">
        <v>296</v>
      </c>
      <c r="D297" t="s">
        <v>837</v>
      </c>
      <c r="E297">
        <v>560034</v>
      </c>
      <c r="F297" t="s">
        <v>19</v>
      </c>
      <c r="G297" s="7" t="s">
        <v>669</v>
      </c>
      <c r="H297" s="10" t="s">
        <v>550</v>
      </c>
      <c r="I297" s="4" t="s">
        <v>839</v>
      </c>
      <c r="J297" t="s">
        <v>887</v>
      </c>
      <c r="K297" s="4" t="s">
        <v>889</v>
      </c>
      <c r="L297" s="12">
        <v>0.09</v>
      </c>
    </row>
    <row r="298" spans="1:12" ht="15.75" x14ac:dyDescent="0.25">
      <c r="A298" t="str">
        <f>LEFT(B298, FIND(" ",B298)-1)</f>
        <v>L'Oréal</v>
      </c>
      <c r="B298" s="4" t="s">
        <v>449</v>
      </c>
      <c r="C298" s="4" t="s">
        <v>45</v>
      </c>
      <c r="D298" t="s">
        <v>837</v>
      </c>
      <c r="E298">
        <v>560034</v>
      </c>
      <c r="F298" t="s">
        <v>19</v>
      </c>
      <c r="G298" s="7" t="s">
        <v>767</v>
      </c>
      <c r="H298" s="10" t="s">
        <v>768</v>
      </c>
      <c r="I298" s="4" t="s">
        <v>98</v>
      </c>
      <c r="J298" t="s">
        <v>887</v>
      </c>
      <c r="K298" s="4" t="s">
        <v>889</v>
      </c>
      <c r="L298" t="s">
        <v>106</v>
      </c>
    </row>
    <row r="299" spans="1:12" ht="15.75" x14ac:dyDescent="0.25">
      <c r="A299" t="str">
        <f>LEFT(B299, FIND(" ",B299)-1)</f>
        <v>L'Oréal</v>
      </c>
      <c r="B299" s="4" t="s">
        <v>461</v>
      </c>
      <c r="C299" s="4" t="s">
        <v>45</v>
      </c>
      <c r="D299" t="s">
        <v>837</v>
      </c>
      <c r="E299">
        <v>560034</v>
      </c>
      <c r="F299" t="s">
        <v>19</v>
      </c>
      <c r="G299" s="7" t="s">
        <v>766</v>
      </c>
      <c r="H299" s="10" t="s">
        <v>779</v>
      </c>
      <c r="I299" s="4" t="s">
        <v>883</v>
      </c>
      <c r="J299" t="s">
        <v>887</v>
      </c>
      <c r="K299" s="4" t="s">
        <v>889</v>
      </c>
      <c r="L299" s="12">
        <v>0.27</v>
      </c>
    </row>
    <row r="300" spans="1:12" ht="15.75" x14ac:dyDescent="0.25">
      <c r="A300" t="str">
        <f>LEFT(B300, FIND(" ",B300)-1)</f>
        <v>L'Oréal</v>
      </c>
      <c r="B300" s="4" t="s">
        <v>475</v>
      </c>
      <c r="C300" s="4" t="s">
        <v>45</v>
      </c>
      <c r="D300" t="s">
        <v>837</v>
      </c>
      <c r="E300">
        <v>560034</v>
      </c>
      <c r="F300" t="s">
        <v>19</v>
      </c>
      <c r="G300" s="7" t="s">
        <v>790</v>
      </c>
      <c r="H300" s="10" t="s">
        <v>636</v>
      </c>
      <c r="I300" s="4" t="s">
        <v>98</v>
      </c>
      <c r="J300" t="s">
        <v>887</v>
      </c>
      <c r="K300" s="4" t="s">
        <v>889</v>
      </c>
      <c r="L300" t="s">
        <v>106</v>
      </c>
    </row>
    <row r="301" spans="1:12" ht="15.75" x14ac:dyDescent="0.25">
      <c r="A301" t="str">
        <f>LEFT(B301, FIND(" ",B301)-1)</f>
        <v>L'Oréal</v>
      </c>
      <c r="B301" s="4" t="s">
        <v>483</v>
      </c>
      <c r="C301" s="4" t="s">
        <v>45</v>
      </c>
      <c r="D301" t="s">
        <v>837</v>
      </c>
      <c r="E301">
        <v>560034</v>
      </c>
      <c r="F301" t="s">
        <v>19</v>
      </c>
      <c r="G301" s="7" t="s">
        <v>585</v>
      </c>
      <c r="H301" s="10" t="s">
        <v>649</v>
      </c>
      <c r="I301" s="4" t="s">
        <v>854</v>
      </c>
      <c r="J301" t="s">
        <v>887</v>
      </c>
      <c r="K301" s="4" t="s">
        <v>888</v>
      </c>
      <c r="L301" s="12">
        <v>0.2</v>
      </c>
    </row>
    <row r="302" spans="1:12" ht="15.75" x14ac:dyDescent="0.25">
      <c r="A302" t="str">
        <f>LEFT(B302, FIND(" ",B302)-1)</f>
        <v>L'Oréal</v>
      </c>
      <c r="B302" s="4" t="s">
        <v>497</v>
      </c>
      <c r="C302" s="4" t="s">
        <v>166</v>
      </c>
      <c r="D302" t="s">
        <v>837</v>
      </c>
      <c r="E302">
        <v>560034</v>
      </c>
      <c r="F302" t="s">
        <v>19</v>
      </c>
      <c r="G302" s="7" t="s">
        <v>811</v>
      </c>
      <c r="H302" s="10" t="s">
        <v>812</v>
      </c>
      <c r="I302" s="4" t="s">
        <v>880</v>
      </c>
      <c r="J302" t="s">
        <v>887</v>
      </c>
      <c r="K302" s="4" t="s">
        <v>889</v>
      </c>
      <c r="L302" s="12">
        <v>0.45</v>
      </c>
    </row>
    <row r="303" spans="1:12" ht="15.75" x14ac:dyDescent="0.25">
      <c r="A303" t="str">
        <f>LEFT(B303, FIND(" ",B303)-1)</f>
        <v>L'Oréal</v>
      </c>
      <c r="B303" s="4" t="s">
        <v>498</v>
      </c>
      <c r="C303" s="4" t="s">
        <v>166</v>
      </c>
      <c r="D303" t="s">
        <v>837</v>
      </c>
      <c r="E303">
        <v>560034</v>
      </c>
      <c r="F303" t="s">
        <v>19</v>
      </c>
      <c r="G303" s="7" t="s">
        <v>813</v>
      </c>
      <c r="H303" s="10" t="s">
        <v>98</v>
      </c>
      <c r="I303" s="4" t="s">
        <v>98</v>
      </c>
      <c r="J303" t="s">
        <v>887</v>
      </c>
      <c r="K303" s="4" t="s">
        <v>889</v>
      </c>
      <c r="L303" t="s">
        <v>106</v>
      </c>
    </row>
    <row r="304" spans="1:12" ht="15.75" x14ac:dyDescent="0.25">
      <c r="A304" t="str">
        <f>LEFT(B304, FIND(" ",B304)-1)</f>
        <v>L'Oréal</v>
      </c>
      <c r="B304" s="4" t="s">
        <v>528</v>
      </c>
      <c r="C304" s="4" t="s">
        <v>45</v>
      </c>
      <c r="D304" t="s">
        <v>837</v>
      </c>
      <c r="E304">
        <v>560034</v>
      </c>
      <c r="F304" t="s">
        <v>19</v>
      </c>
      <c r="G304" s="7" t="s">
        <v>835</v>
      </c>
      <c r="H304" s="10" t="s">
        <v>836</v>
      </c>
      <c r="I304" s="4" t="s">
        <v>857</v>
      </c>
      <c r="J304" t="s">
        <v>887</v>
      </c>
      <c r="K304" s="4" t="s">
        <v>889</v>
      </c>
      <c r="L304" s="12">
        <v>0.1</v>
      </c>
    </row>
    <row r="305" spans="1:12" ht="15.75" x14ac:dyDescent="0.25">
      <c r="A305" t="str">
        <f>LEFT(B305, FIND(" ",B305)-1)</f>
        <v>Love</v>
      </c>
      <c r="B305" s="4" t="s">
        <v>326</v>
      </c>
      <c r="C305" s="4" t="s">
        <v>83</v>
      </c>
      <c r="D305" t="s">
        <v>837</v>
      </c>
      <c r="E305">
        <v>560034</v>
      </c>
      <c r="F305" t="s">
        <v>19</v>
      </c>
      <c r="G305" s="7" t="s">
        <v>646</v>
      </c>
      <c r="H305" s="10" t="s">
        <v>609</v>
      </c>
      <c r="I305" s="4" t="s">
        <v>853</v>
      </c>
      <c r="J305" t="s">
        <v>887</v>
      </c>
      <c r="K305" s="4" t="s">
        <v>889</v>
      </c>
      <c r="L305" s="12">
        <v>0.15</v>
      </c>
    </row>
    <row r="306" spans="1:12" ht="15.75" x14ac:dyDescent="0.25">
      <c r="A306" t="str">
        <f>LEFT(B306, FIND(" ",B306)-1)</f>
        <v>Love</v>
      </c>
      <c r="B306" s="4" t="s">
        <v>327</v>
      </c>
      <c r="C306" s="4" t="s">
        <v>81</v>
      </c>
      <c r="D306" t="s">
        <v>837</v>
      </c>
      <c r="E306">
        <v>560034</v>
      </c>
      <c r="F306" t="s">
        <v>19</v>
      </c>
      <c r="G306" s="7" t="s">
        <v>660</v>
      </c>
      <c r="H306" s="10" t="s">
        <v>661</v>
      </c>
      <c r="I306" s="4" t="s">
        <v>853</v>
      </c>
      <c r="J306" t="s">
        <v>887</v>
      </c>
      <c r="K306" s="4" t="s">
        <v>888</v>
      </c>
      <c r="L306" s="12">
        <v>0.15</v>
      </c>
    </row>
    <row r="307" spans="1:12" ht="15.75" x14ac:dyDescent="0.25">
      <c r="A307" t="str">
        <f>LEFT(B307, FIND(" ",B307)-1)</f>
        <v>Love</v>
      </c>
      <c r="B307" s="4" t="s">
        <v>334</v>
      </c>
      <c r="C307" s="4" t="s">
        <v>222</v>
      </c>
      <c r="D307" t="s">
        <v>837</v>
      </c>
      <c r="E307">
        <v>560034</v>
      </c>
      <c r="F307" t="s">
        <v>19</v>
      </c>
      <c r="G307" s="7" t="s">
        <v>670</v>
      </c>
      <c r="H307" s="10" t="s">
        <v>578</v>
      </c>
      <c r="I307" s="4" t="s">
        <v>841</v>
      </c>
      <c r="J307" t="s">
        <v>887</v>
      </c>
      <c r="K307" s="4" t="s">
        <v>889</v>
      </c>
      <c r="L307" s="12">
        <v>0.14000000000000001</v>
      </c>
    </row>
    <row r="308" spans="1:12" ht="15.75" x14ac:dyDescent="0.25">
      <c r="A308" t="str">
        <f>LEFT(B308, FIND(" ",B308)-1)</f>
        <v>Love</v>
      </c>
      <c r="B308" s="4" t="s">
        <v>334</v>
      </c>
      <c r="C308" s="4" t="s">
        <v>222</v>
      </c>
      <c r="D308" t="s">
        <v>837</v>
      </c>
      <c r="E308">
        <v>560034</v>
      </c>
      <c r="F308" t="s">
        <v>19</v>
      </c>
      <c r="G308" s="7" t="s">
        <v>707</v>
      </c>
      <c r="H308" s="10" t="s">
        <v>708</v>
      </c>
      <c r="I308" s="4" t="s">
        <v>841</v>
      </c>
      <c r="J308" t="s">
        <v>887</v>
      </c>
      <c r="K308" s="4" t="s">
        <v>889</v>
      </c>
      <c r="L308" s="12">
        <v>0.14000000000000001</v>
      </c>
    </row>
    <row r="309" spans="1:12" ht="15.75" x14ac:dyDescent="0.25">
      <c r="A309" t="str">
        <f>LEFT(B309, FIND(" ",B309)-1)</f>
        <v>Love</v>
      </c>
      <c r="B309" s="4" t="s">
        <v>431</v>
      </c>
      <c r="C309" s="4" t="s">
        <v>240</v>
      </c>
      <c r="D309" t="s">
        <v>837</v>
      </c>
      <c r="E309">
        <v>560034</v>
      </c>
      <c r="F309" t="s">
        <v>19</v>
      </c>
      <c r="G309" s="7" t="s">
        <v>756</v>
      </c>
      <c r="H309" s="10" t="s">
        <v>757</v>
      </c>
      <c r="I309" s="4" t="s">
        <v>880</v>
      </c>
      <c r="J309" t="s">
        <v>887</v>
      </c>
      <c r="K309" s="4" t="s">
        <v>889</v>
      </c>
      <c r="L309" s="12">
        <v>0.45</v>
      </c>
    </row>
    <row r="310" spans="1:12" ht="15.75" x14ac:dyDescent="0.25">
      <c r="A310" t="str">
        <f>LEFT(B310, FIND(" ",B310)-1)</f>
        <v>Love</v>
      </c>
      <c r="B310" s="4" t="s">
        <v>450</v>
      </c>
      <c r="C310" s="4" t="s">
        <v>81</v>
      </c>
      <c r="D310" t="s">
        <v>837</v>
      </c>
      <c r="E310">
        <v>560034</v>
      </c>
      <c r="F310" t="s">
        <v>19</v>
      </c>
      <c r="G310" s="7" t="s">
        <v>616</v>
      </c>
      <c r="H310" s="10" t="s">
        <v>655</v>
      </c>
      <c r="I310" s="4" t="s">
        <v>98</v>
      </c>
      <c r="J310" t="s">
        <v>887</v>
      </c>
      <c r="K310" s="4" t="s">
        <v>889</v>
      </c>
      <c r="L310" t="s">
        <v>106</v>
      </c>
    </row>
    <row r="311" spans="1:12" x14ac:dyDescent="0.25">
      <c r="A311" t="s">
        <v>900</v>
      </c>
      <c r="B311" t="s">
        <v>901</v>
      </c>
      <c r="C311" t="s">
        <v>932</v>
      </c>
      <c r="D311" t="s">
        <v>18</v>
      </c>
      <c r="E311">
        <v>560034</v>
      </c>
      <c r="F311" t="s">
        <v>19</v>
      </c>
      <c r="G311" s="6">
        <v>284</v>
      </c>
      <c r="H311" t="s">
        <v>593</v>
      </c>
      <c r="I311" t="s">
        <v>954</v>
      </c>
      <c r="J311" t="s">
        <v>887</v>
      </c>
      <c r="K311" t="s">
        <v>889</v>
      </c>
      <c r="L311" s="12">
        <v>0.2</v>
      </c>
    </row>
    <row r="312" spans="1:12" x14ac:dyDescent="0.25">
      <c r="A312" t="s">
        <v>900</v>
      </c>
      <c r="B312" t="s">
        <v>901</v>
      </c>
      <c r="C312" t="s">
        <v>932</v>
      </c>
      <c r="D312" t="s">
        <v>18</v>
      </c>
      <c r="E312">
        <v>560034</v>
      </c>
      <c r="F312" t="s">
        <v>19</v>
      </c>
      <c r="G312" s="6">
        <v>284</v>
      </c>
      <c r="H312" t="s">
        <v>98</v>
      </c>
      <c r="I312" t="s">
        <v>98</v>
      </c>
      <c r="J312" t="s">
        <v>887</v>
      </c>
      <c r="K312" t="s">
        <v>889</v>
      </c>
      <c r="L312" t="s">
        <v>106</v>
      </c>
    </row>
    <row r="313" spans="1:12" ht="15.75" x14ac:dyDescent="0.25">
      <c r="A313" t="str">
        <f>LEFT(B313, FIND(" ",B313)-1)</f>
        <v>LuvLap</v>
      </c>
      <c r="B313" s="4" t="s">
        <v>530</v>
      </c>
      <c r="C313" s="4" t="s">
        <v>81</v>
      </c>
      <c r="D313" t="s">
        <v>837</v>
      </c>
      <c r="E313">
        <v>560034</v>
      </c>
      <c r="F313" t="s">
        <v>19</v>
      </c>
      <c r="G313" s="7" t="s">
        <v>811</v>
      </c>
      <c r="H313" s="10" t="s">
        <v>792</v>
      </c>
      <c r="I313" s="4" t="s">
        <v>854</v>
      </c>
      <c r="J313" t="s">
        <v>887</v>
      </c>
      <c r="K313" s="4" t="s">
        <v>888</v>
      </c>
      <c r="L313" s="12">
        <v>0.2</v>
      </c>
    </row>
    <row r="314" spans="1:12" ht="15.75" x14ac:dyDescent="0.25">
      <c r="A314" t="s">
        <v>205</v>
      </c>
      <c r="B314" t="s">
        <v>165</v>
      </c>
      <c r="C314" t="s">
        <v>166</v>
      </c>
      <c r="D314" t="s">
        <v>42</v>
      </c>
      <c r="E314">
        <v>560034</v>
      </c>
      <c r="F314" t="s">
        <v>19</v>
      </c>
      <c r="G314" s="6">
        <v>270</v>
      </c>
      <c r="H314" s="9">
        <v>310</v>
      </c>
      <c r="I314" t="s">
        <v>55</v>
      </c>
      <c r="J314" t="s">
        <v>887</v>
      </c>
      <c r="K314" s="4" t="s">
        <v>889</v>
      </c>
      <c r="L314" s="12">
        <v>0.12</v>
      </c>
    </row>
    <row r="315" spans="1:12" ht="15.75" x14ac:dyDescent="0.25">
      <c r="A315" t="s">
        <v>205</v>
      </c>
      <c r="B315" t="s">
        <v>167</v>
      </c>
      <c r="C315" t="s">
        <v>166</v>
      </c>
      <c r="D315" t="s">
        <v>42</v>
      </c>
      <c r="E315">
        <v>560034</v>
      </c>
      <c r="F315" t="s">
        <v>19</v>
      </c>
      <c r="G315" s="6">
        <v>307</v>
      </c>
      <c r="H315" s="9">
        <v>349</v>
      </c>
      <c r="I315" t="s">
        <v>55</v>
      </c>
      <c r="J315" t="s">
        <v>887</v>
      </c>
      <c r="K315" s="4" t="s">
        <v>889</v>
      </c>
      <c r="L315" s="12">
        <v>0.12</v>
      </c>
    </row>
    <row r="316" spans="1:12" ht="15.75" x14ac:dyDescent="0.25">
      <c r="A316" t="s">
        <v>205</v>
      </c>
      <c r="B316" t="s">
        <v>168</v>
      </c>
      <c r="C316" t="s">
        <v>166</v>
      </c>
      <c r="D316" t="s">
        <v>42</v>
      </c>
      <c r="E316">
        <v>560034</v>
      </c>
      <c r="F316" t="s">
        <v>19</v>
      </c>
      <c r="G316" s="6">
        <v>304</v>
      </c>
      <c r="H316" s="9">
        <v>349</v>
      </c>
      <c r="I316" t="s">
        <v>55</v>
      </c>
      <c r="J316" t="s">
        <v>887</v>
      </c>
      <c r="K316" s="4" t="s">
        <v>888</v>
      </c>
      <c r="L316" s="12">
        <v>0.12</v>
      </c>
    </row>
    <row r="317" spans="1:12" ht="15.75" x14ac:dyDescent="0.25">
      <c r="A317" t="s">
        <v>205</v>
      </c>
      <c r="B317" t="s">
        <v>169</v>
      </c>
      <c r="C317" t="s">
        <v>170</v>
      </c>
      <c r="D317" t="s">
        <v>42</v>
      </c>
      <c r="E317">
        <v>560034</v>
      </c>
      <c r="F317" t="s">
        <v>19</v>
      </c>
      <c r="G317" s="6">
        <v>249</v>
      </c>
      <c r="H317" s="9">
        <v>799</v>
      </c>
      <c r="I317" t="s">
        <v>63</v>
      </c>
      <c r="J317" t="s">
        <v>887</v>
      </c>
      <c r="K317" s="4" t="s">
        <v>888</v>
      </c>
      <c r="L317" s="12">
        <v>0.35</v>
      </c>
    </row>
    <row r="318" spans="1:12" ht="15.75" x14ac:dyDescent="0.25">
      <c r="A318" t="s">
        <v>205</v>
      </c>
      <c r="B318" t="s">
        <v>171</v>
      </c>
      <c r="C318" t="s">
        <v>83</v>
      </c>
      <c r="D318" t="s">
        <v>42</v>
      </c>
      <c r="E318">
        <v>560034</v>
      </c>
      <c r="F318" t="s">
        <v>19</v>
      </c>
      <c r="G318" s="6">
        <v>125</v>
      </c>
      <c r="H318" s="9">
        <v>559</v>
      </c>
      <c r="I318" t="s">
        <v>120</v>
      </c>
      <c r="J318" t="s">
        <v>887</v>
      </c>
      <c r="K318" s="4" t="s">
        <v>888</v>
      </c>
      <c r="L318" s="12">
        <v>0.15</v>
      </c>
    </row>
    <row r="319" spans="1:12" ht="15.75" x14ac:dyDescent="0.25">
      <c r="A319" t="s">
        <v>205</v>
      </c>
      <c r="B319" t="s">
        <v>172</v>
      </c>
      <c r="C319" t="s">
        <v>166</v>
      </c>
      <c r="D319" t="s">
        <v>42</v>
      </c>
      <c r="E319">
        <v>560034</v>
      </c>
      <c r="F319" t="s">
        <v>19</v>
      </c>
      <c r="G319" s="6">
        <v>314</v>
      </c>
      <c r="H319" s="9">
        <v>349</v>
      </c>
      <c r="I319" t="s">
        <v>133</v>
      </c>
      <c r="J319" t="s">
        <v>887</v>
      </c>
      <c r="K319" s="4" t="s">
        <v>889</v>
      </c>
      <c r="L319" s="12">
        <v>0.1</v>
      </c>
    </row>
    <row r="320" spans="1:12" ht="15.75" x14ac:dyDescent="0.25">
      <c r="A320" t="s">
        <v>205</v>
      </c>
      <c r="B320" t="s">
        <v>175</v>
      </c>
      <c r="C320" t="s">
        <v>81</v>
      </c>
      <c r="D320" t="s">
        <v>42</v>
      </c>
      <c r="E320">
        <v>560034</v>
      </c>
      <c r="F320" t="s">
        <v>19</v>
      </c>
      <c r="G320" s="6">
        <v>355</v>
      </c>
      <c r="H320" s="9">
        <v>444</v>
      </c>
      <c r="I320" t="s">
        <v>58</v>
      </c>
      <c r="J320" t="s">
        <v>887</v>
      </c>
      <c r="K320" s="4" t="s">
        <v>889</v>
      </c>
      <c r="L320" s="12">
        <v>0.2</v>
      </c>
    </row>
    <row r="321" spans="1:12" ht="15.75" x14ac:dyDescent="0.25">
      <c r="A321" t="s">
        <v>205</v>
      </c>
      <c r="B321" t="s">
        <v>176</v>
      </c>
      <c r="C321" t="s">
        <v>166</v>
      </c>
      <c r="D321" t="s">
        <v>42</v>
      </c>
      <c r="E321">
        <v>560034</v>
      </c>
      <c r="F321" t="s">
        <v>19</v>
      </c>
      <c r="G321" s="6">
        <v>593</v>
      </c>
      <c r="H321" s="9">
        <v>599</v>
      </c>
      <c r="I321" t="s">
        <v>177</v>
      </c>
      <c r="J321" t="s">
        <v>887</v>
      </c>
      <c r="K321" s="4" t="s">
        <v>889</v>
      </c>
      <c r="L321" s="12">
        <v>0.01</v>
      </c>
    </row>
    <row r="322" spans="1:12" ht="15.75" x14ac:dyDescent="0.25">
      <c r="A322" t="str">
        <f>LEFT(B322, FIND(" ",B322)-1)</f>
        <v>Mamaearth</v>
      </c>
      <c r="B322" s="4" t="s">
        <v>264</v>
      </c>
      <c r="C322" s="4" t="s">
        <v>81</v>
      </c>
      <c r="D322" t="s">
        <v>837</v>
      </c>
      <c r="E322">
        <v>560034</v>
      </c>
      <c r="F322" t="s">
        <v>19</v>
      </c>
      <c r="G322" s="7" t="s">
        <v>592</v>
      </c>
      <c r="H322" s="10" t="s">
        <v>593</v>
      </c>
      <c r="I322" s="4" t="s">
        <v>839</v>
      </c>
      <c r="J322" t="s">
        <v>887</v>
      </c>
      <c r="K322" s="4" t="s">
        <v>889</v>
      </c>
      <c r="L322" s="12">
        <v>0.09</v>
      </c>
    </row>
    <row r="323" spans="1:12" ht="15.75" x14ac:dyDescent="0.25">
      <c r="A323" t="str">
        <f>LEFT(B323, FIND(" ",B323)-1)</f>
        <v>Mamaearth</v>
      </c>
      <c r="B323" s="4" t="s">
        <v>499</v>
      </c>
      <c r="C323" s="4" t="s">
        <v>166</v>
      </c>
      <c r="D323" t="s">
        <v>837</v>
      </c>
      <c r="E323">
        <v>560034</v>
      </c>
      <c r="F323" t="s">
        <v>19</v>
      </c>
      <c r="G323" s="7" t="s">
        <v>814</v>
      </c>
      <c r="H323" s="10" t="s">
        <v>98</v>
      </c>
      <c r="I323" s="4" t="s">
        <v>98</v>
      </c>
      <c r="J323" t="s">
        <v>887</v>
      </c>
      <c r="K323" s="4" t="s">
        <v>889</v>
      </c>
      <c r="L323" t="s">
        <v>106</v>
      </c>
    </row>
    <row r="324" spans="1:12" ht="15.75" x14ac:dyDescent="0.25">
      <c r="A324" t="str">
        <f>LEFT(B324, FIND(" ",B324)-1)</f>
        <v>Mamaearth</v>
      </c>
      <c r="B324" s="4" t="s">
        <v>531</v>
      </c>
      <c r="C324" s="4" t="s">
        <v>246</v>
      </c>
      <c r="D324" t="s">
        <v>837</v>
      </c>
      <c r="E324">
        <v>560034</v>
      </c>
      <c r="F324" t="s">
        <v>19</v>
      </c>
      <c r="G324" s="7" t="s">
        <v>594</v>
      </c>
      <c r="H324" s="10" t="s">
        <v>568</v>
      </c>
      <c r="I324" s="4" t="s">
        <v>874</v>
      </c>
      <c r="J324" t="s">
        <v>887</v>
      </c>
      <c r="K324" s="4" t="s">
        <v>888</v>
      </c>
      <c r="L324" s="12">
        <v>0.28999999999999998</v>
      </c>
    </row>
    <row r="325" spans="1:12" ht="15.75" x14ac:dyDescent="0.25">
      <c r="A325" t="s">
        <v>211</v>
      </c>
      <c r="B325" t="s">
        <v>173</v>
      </c>
      <c r="C325" t="s">
        <v>113</v>
      </c>
      <c r="D325" t="s">
        <v>42</v>
      </c>
      <c r="E325">
        <v>560034</v>
      </c>
      <c r="F325" t="s">
        <v>19</v>
      </c>
      <c r="G325" s="6">
        <v>844</v>
      </c>
      <c r="H325" s="9">
        <v>1299</v>
      </c>
      <c r="I325" t="s">
        <v>63</v>
      </c>
      <c r="J325" t="s">
        <v>887</v>
      </c>
      <c r="K325" s="4" t="s">
        <v>889</v>
      </c>
      <c r="L325" s="12">
        <v>0.35</v>
      </c>
    </row>
    <row r="326" spans="1:12" ht="15.75" x14ac:dyDescent="0.25">
      <c r="A326" t="s">
        <v>212</v>
      </c>
      <c r="B326" t="s">
        <v>174</v>
      </c>
      <c r="C326" t="s">
        <v>51</v>
      </c>
      <c r="D326" t="s">
        <v>42</v>
      </c>
      <c r="E326">
        <v>560034</v>
      </c>
      <c r="F326" t="s">
        <v>19</v>
      </c>
      <c r="G326" s="6">
        <v>909</v>
      </c>
      <c r="H326" s="9" t="s">
        <v>98</v>
      </c>
      <c r="I326" t="s">
        <v>98</v>
      </c>
      <c r="J326" t="s">
        <v>887</v>
      </c>
      <c r="K326" s="4" t="s">
        <v>891</v>
      </c>
      <c r="L326" t="s">
        <v>106</v>
      </c>
    </row>
    <row r="327" spans="1:12" ht="15.75" x14ac:dyDescent="0.25">
      <c r="A327" t="str">
        <f>LEFT(B327, FIND(" ",B327)-1)</f>
        <v>Man</v>
      </c>
      <c r="B327" s="4" t="s">
        <v>410</v>
      </c>
      <c r="C327" s="4" t="s">
        <v>240</v>
      </c>
      <c r="D327" t="s">
        <v>837</v>
      </c>
      <c r="E327">
        <v>560034</v>
      </c>
      <c r="F327" t="s">
        <v>19</v>
      </c>
      <c r="G327" s="7" t="s">
        <v>636</v>
      </c>
      <c r="H327" s="10" t="s">
        <v>570</v>
      </c>
      <c r="I327" s="4" t="s">
        <v>98</v>
      </c>
      <c r="J327" t="s">
        <v>887</v>
      </c>
      <c r="K327" s="4" t="s">
        <v>889</v>
      </c>
      <c r="L327" t="s">
        <v>106</v>
      </c>
    </row>
    <row r="328" spans="1:12" ht="15.75" x14ac:dyDescent="0.25">
      <c r="A328" t="str">
        <f>LEFT(B328, FIND(" ",B328)-1)</f>
        <v>Manetain</v>
      </c>
      <c r="B328" s="4" t="s">
        <v>476</v>
      </c>
      <c r="C328" s="4" t="s">
        <v>83</v>
      </c>
      <c r="D328" t="s">
        <v>837</v>
      </c>
      <c r="E328">
        <v>560034</v>
      </c>
      <c r="F328" t="s">
        <v>19</v>
      </c>
      <c r="G328" s="7" t="s">
        <v>711</v>
      </c>
      <c r="H328" s="10" t="s">
        <v>98</v>
      </c>
      <c r="I328" s="4" t="s">
        <v>98</v>
      </c>
      <c r="J328" t="s">
        <v>887</v>
      </c>
      <c r="K328" s="4" t="s">
        <v>889</v>
      </c>
      <c r="L328" t="s">
        <v>106</v>
      </c>
    </row>
    <row r="329" spans="1:12" ht="15.75" x14ac:dyDescent="0.25">
      <c r="A329" t="str">
        <f>LEFT(B329, FIND(" ",B329)-1)</f>
        <v>Matrix</v>
      </c>
      <c r="B329" s="4" t="s">
        <v>362</v>
      </c>
      <c r="C329" s="4" t="s">
        <v>83</v>
      </c>
      <c r="D329" t="s">
        <v>837</v>
      </c>
      <c r="E329">
        <v>560034</v>
      </c>
      <c r="F329" t="s">
        <v>19</v>
      </c>
      <c r="G329" s="7" t="s">
        <v>693</v>
      </c>
      <c r="H329" s="10" t="s">
        <v>694</v>
      </c>
      <c r="I329" s="4" t="s">
        <v>857</v>
      </c>
      <c r="J329" t="s">
        <v>887</v>
      </c>
      <c r="K329" s="4" t="s">
        <v>888</v>
      </c>
      <c r="L329" s="12">
        <v>0.1</v>
      </c>
    </row>
    <row r="330" spans="1:12" ht="15.75" x14ac:dyDescent="0.25">
      <c r="A330" t="str">
        <f>LEFT(B330, FIND(" ",B330)-1)</f>
        <v>Matrix</v>
      </c>
      <c r="B330" s="4" t="s">
        <v>362</v>
      </c>
      <c r="C330" s="4" t="s">
        <v>83</v>
      </c>
      <c r="D330" t="s">
        <v>837</v>
      </c>
      <c r="E330">
        <v>560034</v>
      </c>
      <c r="F330" t="s">
        <v>19</v>
      </c>
      <c r="G330" s="7" t="s">
        <v>552</v>
      </c>
      <c r="H330" s="10" t="s">
        <v>98</v>
      </c>
      <c r="I330" s="4" t="s">
        <v>98</v>
      </c>
      <c r="J330" t="s">
        <v>887</v>
      </c>
      <c r="K330" s="4" t="s">
        <v>889</v>
      </c>
      <c r="L330" t="s">
        <v>106</v>
      </c>
    </row>
    <row r="331" spans="1:12" ht="15.75" x14ac:dyDescent="0.25">
      <c r="A331" t="str">
        <f>LEFT(B331, FIND(" ",B331)-1)</f>
        <v>Matrix</v>
      </c>
      <c r="B331" s="4" t="s">
        <v>477</v>
      </c>
      <c r="C331" s="4" t="s">
        <v>478</v>
      </c>
      <c r="D331" t="s">
        <v>837</v>
      </c>
      <c r="E331">
        <v>560034</v>
      </c>
      <c r="F331" t="s">
        <v>19</v>
      </c>
      <c r="G331" s="7" t="s">
        <v>649</v>
      </c>
      <c r="H331" s="10" t="s">
        <v>98</v>
      </c>
      <c r="I331" s="4" t="s">
        <v>98</v>
      </c>
      <c r="J331" t="s">
        <v>887</v>
      </c>
      <c r="K331" s="4" t="s">
        <v>888</v>
      </c>
      <c r="L331" t="s">
        <v>106</v>
      </c>
    </row>
    <row r="332" spans="1:12" ht="15.75" x14ac:dyDescent="0.25">
      <c r="A332" t="str">
        <f>LEFT(B332, FIND(" ",B332)-1)</f>
        <v>Max</v>
      </c>
      <c r="B332" s="4" t="s">
        <v>228</v>
      </c>
      <c r="C332" s="4" t="s">
        <v>166</v>
      </c>
      <c r="D332" t="s">
        <v>837</v>
      </c>
      <c r="E332">
        <v>560034</v>
      </c>
      <c r="F332" t="s">
        <v>19</v>
      </c>
      <c r="G332" s="7" t="s">
        <v>549</v>
      </c>
      <c r="H332" s="10" t="s">
        <v>550</v>
      </c>
      <c r="I332" s="4" t="s">
        <v>846</v>
      </c>
      <c r="J332" t="s">
        <v>887</v>
      </c>
      <c r="K332" s="4" t="s">
        <v>889</v>
      </c>
      <c r="L332" s="12">
        <v>0.08</v>
      </c>
    </row>
    <row r="333" spans="1:12" ht="15.75" x14ac:dyDescent="0.25">
      <c r="A333" t="str">
        <f>LEFT(B333, FIND(" ",B333)-1)</f>
        <v>Max</v>
      </c>
      <c r="B333" s="4" t="s">
        <v>277</v>
      </c>
      <c r="C333" s="4" t="s">
        <v>234</v>
      </c>
      <c r="D333" t="s">
        <v>837</v>
      </c>
      <c r="E333">
        <v>560034</v>
      </c>
      <c r="F333" t="s">
        <v>19</v>
      </c>
      <c r="G333" s="7" t="s">
        <v>610</v>
      </c>
      <c r="H333" s="10" t="s">
        <v>611</v>
      </c>
      <c r="I333" s="4" t="s">
        <v>846</v>
      </c>
      <c r="J333" t="s">
        <v>887</v>
      </c>
      <c r="K333" s="4" t="s">
        <v>888</v>
      </c>
      <c r="L333" s="12">
        <v>0.08</v>
      </c>
    </row>
    <row r="334" spans="1:12" ht="15.75" x14ac:dyDescent="0.25">
      <c r="A334" t="s">
        <v>200</v>
      </c>
      <c r="B334" s="4" t="s">
        <v>75</v>
      </c>
      <c r="C334" s="4" t="s">
        <v>82</v>
      </c>
      <c r="D334" t="s">
        <v>42</v>
      </c>
      <c r="E334">
        <v>560034</v>
      </c>
      <c r="F334" t="s">
        <v>19</v>
      </c>
      <c r="G334" s="6">
        <v>112</v>
      </c>
      <c r="H334" s="9" t="s">
        <v>106</v>
      </c>
      <c r="I334" s="3" t="s">
        <v>106</v>
      </c>
      <c r="J334" t="s">
        <v>887</v>
      </c>
      <c r="K334" s="4" t="s">
        <v>889</v>
      </c>
      <c r="L334" s="12" t="s">
        <v>885</v>
      </c>
    </row>
    <row r="335" spans="1:12" ht="15.75" x14ac:dyDescent="0.25">
      <c r="A335" t="s">
        <v>196</v>
      </c>
      <c r="B335" t="s">
        <v>28</v>
      </c>
      <c r="C335" t="s">
        <v>46</v>
      </c>
      <c r="D335" t="s">
        <v>42</v>
      </c>
      <c r="E335">
        <v>560034</v>
      </c>
      <c r="F335" t="s">
        <v>19</v>
      </c>
      <c r="G335" s="6">
        <f>H335/(1-(VALUE(LEFT(I335,FIND("%",I335)-1))/100))</f>
        <v>156.97674418604652</v>
      </c>
      <c r="H335" s="9">
        <v>135</v>
      </c>
      <c r="I335" s="3" t="s">
        <v>56</v>
      </c>
      <c r="J335" t="s">
        <v>887</v>
      </c>
      <c r="K335" s="4" t="s">
        <v>889</v>
      </c>
      <c r="L335" s="12">
        <v>0.14000000000000001</v>
      </c>
    </row>
    <row r="336" spans="1:12" ht="15.75" x14ac:dyDescent="0.25">
      <c r="A336" t="s">
        <v>196</v>
      </c>
      <c r="B336" t="s">
        <v>109</v>
      </c>
      <c r="C336" t="s">
        <v>110</v>
      </c>
      <c r="D336" t="s">
        <v>42</v>
      </c>
      <c r="E336">
        <v>560034</v>
      </c>
      <c r="F336" t="s">
        <v>19</v>
      </c>
      <c r="G336" s="6">
        <v>59</v>
      </c>
      <c r="H336" s="9">
        <v>70</v>
      </c>
      <c r="I336" t="s">
        <v>120</v>
      </c>
      <c r="J336" t="s">
        <v>887</v>
      </c>
      <c r="K336" s="4" t="s">
        <v>889</v>
      </c>
      <c r="L336" s="12">
        <v>0.15</v>
      </c>
    </row>
    <row r="337" spans="1:12" ht="15.75" x14ac:dyDescent="0.25">
      <c r="A337" t="s">
        <v>203</v>
      </c>
      <c r="B337" t="s">
        <v>93</v>
      </c>
      <c r="C337" t="s">
        <v>48</v>
      </c>
      <c r="D337" t="s">
        <v>42</v>
      </c>
      <c r="E337">
        <v>560034</v>
      </c>
      <c r="F337" t="s">
        <v>19</v>
      </c>
      <c r="G337" s="6">
        <v>201</v>
      </c>
      <c r="H337" s="9">
        <v>435</v>
      </c>
      <c r="I337" t="s">
        <v>99</v>
      </c>
      <c r="J337" t="s">
        <v>887</v>
      </c>
      <c r="K337" s="4" t="s">
        <v>889</v>
      </c>
      <c r="L337" s="12">
        <v>0.25</v>
      </c>
    </row>
    <row r="338" spans="1:12" ht="15.75" x14ac:dyDescent="0.25">
      <c r="A338" t="str">
        <f>LEFT(B338, FIND(" ",B338)-1)</f>
        <v>Meera</v>
      </c>
      <c r="B338" s="4" t="s">
        <v>455</v>
      </c>
      <c r="C338" s="4" t="s">
        <v>51</v>
      </c>
      <c r="D338" t="s">
        <v>837</v>
      </c>
      <c r="E338">
        <v>560034</v>
      </c>
      <c r="F338" t="s">
        <v>19</v>
      </c>
      <c r="G338" s="7" t="s">
        <v>706</v>
      </c>
      <c r="H338" s="10" t="s">
        <v>600</v>
      </c>
      <c r="I338" s="4" t="s">
        <v>854</v>
      </c>
      <c r="J338" t="s">
        <v>887</v>
      </c>
      <c r="K338" s="4" t="s">
        <v>891</v>
      </c>
      <c r="L338" s="12">
        <v>0.2</v>
      </c>
    </row>
    <row r="339" spans="1:12" ht="15.75" x14ac:dyDescent="0.25">
      <c r="A339" t="str">
        <f>LEFT(B339, FIND(" ",B339)-1)</f>
        <v>Meera</v>
      </c>
      <c r="B339" s="4" t="s">
        <v>455</v>
      </c>
      <c r="C339" s="4" t="s">
        <v>48</v>
      </c>
      <c r="D339" t="s">
        <v>837</v>
      </c>
      <c r="E339">
        <v>560034</v>
      </c>
      <c r="F339" t="s">
        <v>19</v>
      </c>
      <c r="G339" s="7" t="s">
        <v>584</v>
      </c>
      <c r="H339" s="10" t="s">
        <v>587</v>
      </c>
      <c r="I339" s="4" t="s">
        <v>857</v>
      </c>
      <c r="J339" t="s">
        <v>887</v>
      </c>
      <c r="K339" s="4" t="s">
        <v>889</v>
      </c>
      <c r="L339" s="12">
        <v>0.1</v>
      </c>
    </row>
    <row r="340" spans="1:12" ht="15.75" x14ac:dyDescent="0.25">
      <c r="A340" t="str">
        <f>LEFT(B340, FIND(" ",B340)-1)</f>
        <v>Meera</v>
      </c>
      <c r="B340" s="4" t="s">
        <v>500</v>
      </c>
      <c r="C340" s="4" t="s">
        <v>78</v>
      </c>
      <c r="D340" t="s">
        <v>837</v>
      </c>
      <c r="E340">
        <v>560034</v>
      </c>
      <c r="F340" t="s">
        <v>19</v>
      </c>
      <c r="G340" s="7" t="s">
        <v>586</v>
      </c>
      <c r="H340" s="10" t="s">
        <v>815</v>
      </c>
      <c r="I340" s="4" t="s">
        <v>98</v>
      </c>
      <c r="J340" t="s">
        <v>887</v>
      </c>
      <c r="K340" s="4" t="s">
        <v>889</v>
      </c>
      <c r="L340" t="s">
        <v>106</v>
      </c>
    </row>
    <row r="341" spans="1:12" ht="15.75" x14ac:dyDescent="0.25">
      <c r="A341" t="str">
        <f>LEFT(B341, FIND(" ",B341)-1)</f>
        <v>Minimalist</v>
      </c>
      <c r="B341" s="4" t="s">
        <v>385</v>
      </c>
      <c r="C341" s="4" t="s">
        <v>359</v>
      </c>
      <c r="D341" t="s">
        <v>837</v>
      </c>
      <c r="E341">
        <v>560034</v>
      </c>
      <c r="F341" t="s">
        <v>19</v>
      </c>
      <c r="G341" s="7" t="s">
        <v>719</v>
      </c>
      <c r="H341" s="10" t="s">
        <v>676</v>
      </c>
      <c r="I341" s="4" t="s">
        <v>877</v>
      </c>
      <c r="J341" t="s">
        <v>887</v>
      </c>
      <c r="K341" s="4" t="s">
        <v>889</v>
      </c>
      <c r="L341" s="12">
        <v>0.05</v>
      </c>
    </row>
    <row r="342" spans="1:12" ht="15.75" x14ac:dyDescent="0.25">
      <c r="A342" t="str">
        <f>LEFT(B342, FIND(" ",B342)-1)</f>
        <v>Minimalist</v>
      </c>
      <c r="B342" s="4" t="s">
        <v>397</v>
      </c>
      <c r="C342" s="4" t="s">
        <v>222</v>
      </c>
      <c r="D342" t="s">
        <v>837</v>
      </c>
      <c r="E342">
        <v>560034</v>
      </c>
      <c r="F342" t="s">
        <v>19</v>
      </c>
      <c r="G342" s="7" t="s">
        <v>595</v>
      </c>
      <c r="H342" s="10" t="s">
        <v>585</v>
      </c>
      <c r="I342" s="4" t="s">
        <v>881</v>
      </c>
      <c r="J342" t="s">
        <v>887</v>
      </c>
      <c r="K342" s="4" t="s">
        <v>889</v>
      </c>
      <c r="L342" s="12">
        <v>0.49</v>
      </c>
    </row>
    <row r="343" spans="1:12" ht="15.75" x14ac:dyDescent="0.25">
      <c r="A343" t="str">
        <f>LEFT(B343, FIND(" ",B343)-1)</f>
        <v>Minimalist</v>
      </c>
      <c r="B343" s="4" t="s">
        <v>397</v>
      </c>
      <c r="C343" s="4" t="s">
        <v>359</v>
      </c>
      <c r="D343" t="s">
        <v>837</v>
      </c>
      <c r="E343">
        <v>560034</v>
      </c>
      <c r="F343" t="s">
        <v>19</v>
      </c>
      <c r="G343" s="7" t="s">
        <v>628</v>
      </c>
      <c r="H343" s="10" t="s">
        <v>570</v>
      </c>
      <c r="I343" s="4" t="s">
        <v>852</v>
      </c>
      <c r="J343" t="s">
        <v>887</v>
      </c>
      <c r="K343" s="4" t="s">
        <v>889</v>
      </c>
      <c r="L343" s="12">
        <v>0.4</v>
      </c>
    </row>
    <row r="344" spans="1:12" ht="15.75" x14ac:dyDescent="0.25">
      <c r="A344" t="str">
        <f>LEFT(B344, FIND(" ",B344)-1)</f>
        <v>Minimalist</v>
      </c>
      <c r="B344" s="4" t="s">
        <v>486</v>
      </c>
      <c r="C344" s="4" t="s">
        <v>81</v>
      </c>
      <c r="D344" t="s">
        <v>837</v>
      </c>
      <c r="E344">
        <v>560034</v>
      </c>
      <c r="F344" t="s">
        <v>19</v>
      </c>
      <c r="G344" s="7" t="s">
        <v>798</v>
      </c>
      <c r="H344" s="10" t="s">
        <v>585</v>
      </c>
      <c r="I344" s="4" t="s">
        <v>878</v>
      </c>
      <c r="J344" t="s">
        <v>887</v>
      </c>
      <c r="K344" s="4" t="s">
        <v>888</v>
      </c>
      <c r="L344" s="12">
        <v>7.0000000000000007E-2</v>
      </c>
    </row>
    <row r="345" spans="1:12" ht="15.75" x14ac:dyDescent="0.25">
      <c r="A345" t="str">
        <f>LEFT(B345, FIND(" ",B345)-1)</f>
        <v>Mintop</v>
      </c>
      <c r="B345" s="4" t="s">
        <v>417</v>
      </c>
      <c r="C345" s="4" t="s">
        <v>222</v>
      </c>
      <c r="D345" t="s">
        <v>837</v>
      </c>
      <c r="E345">
        <v>560034</v>
      </c>
      <c r="F345" t="s">
        <v>19</v>
      </c>
      <c r="G345" s="7" t="s">
        <v>563</v>
      </c>
      <c r="H345" s="10" t="s">
        <v>604</v>
      </c>
      <c r="I345" s="4" t="s">
        <v>853</v>
      </c>
      <c r="J345" t="s">
        <v>887</v>
      </c>
      <c r="K345" s="4" t="s">
        <v>888</v>
      </c>
      <c r="L345" s="12">
        <v>0.15</v>
      </c>
    </row>
    <row r="346" spans="1:12" ht="15.75" x14ac:dyDescent="0.25">
      <c r="A346" t="s">
        <v>207</v>
      </c>
      <c r="B346" t="s">
        <v>180</v>
      </c>
      <c r="C346" t="s">
        <v>81</v>
      </c>
      <c r="D346" t="s">
        <v>42</v>
      </c>
      <c r="E346">
        <v>560034</v>
      </c>
      <c r="F346" t="s">
        <v>19</v>
      </c>
      <c r="G346" s="6">
        <v>522</v>
      </c>
      <c r="H346" s="9">
        <v>370</v>
      </c>
      <c r="I346" t="s">
        <v>99</v>
      </c>
      <c r="J346" t="s">
        <v>887</v>
      </c>
      <c r="K346" s="4" t="s">
        <v>889</v>
      </c>
      <c r="L346" s="12">
        <v>0.25</v>
      </c>
    </row>
    <row r="347" spans="1:12" ht="15.75" x14ac:dyDescent="0.25">
      <c r="A347" t="str">
        <f>LEFT(B347, FIND(" ",B347)-1)</f>
        <v>Moxie</v>
      </c>
      <c r="B347" s="4" t="s">
        <v>368</v>
      </c>
      <c r="C347" s="4" t="s">
        <v>240</v>
      </c>
      <c r="D347" t="s">
        <v>837</v>
      </c>
      <c r="E347">
        <v>560034</v>
      </c>
      <c r="F347" t="s">
        <v>19</v>
      </c>
      <c r="G347" s="7" t="s">
        <v>699</v>
      </c>
      <c r="H347" s="10" t="s">
        <v>583</v>
      </c>
      <c r="I347" s="4" t="s">
        <v>857</v>
      </c>
      <c r="J347" t="s">
        <v>887</v>
      </c>
      <c r="K347" s="4" t="s">
        <v>889</v>
      </c>
      <c r="L347" s="12">
        <v>0.1</v>
      </c>
    </row>
    <row r="348" spans="1:12" ht="15.75" x14ac:dyDescent="0.25">
      <c r="A348" t="str">
        <f>LEFT(B348, FIND(" ",B348)-1)</f>
        <v>Moxie</v>
      </c>
      <c r="B348" s="4" t="s">
        <v>369</v>
      </c>
      <c r="C348" s="4" t="s">
        <v>222</v>
      </c>
      <c r="D348" t="s">
        <v>837</v>
      </c>
      <c r="E348">
        <v>560034</v>
      </c>
      <c r="F348" t="s">
        <v>19</v>
      </c>
      <c r="G348" s="7" t="s">
        <v>571</v>
      </c>
      <c r="H348" s="10" t="s">
        <v>572</v>
      </c>
      <c r="I348" s="4" t="s">
        <v>842</v>
      </c>
      <c r="J348" t="s">
        <v>887</v>
      </c>
      <c r="K348" s="4" t="s">
        <v>889</v>
      </c>
      <c r="L348" s="12">
        <v>0.17</v>
      </c>
    </row>
    <row r="349" spans="1:12" ht="15.75" x14ac:dyDescent="0.25">
      <c r="A349" t="str">
        <f>LEFT(B349, FIND(" ",B349)-1)</f>
        <v>Moxie</v>
      </c>
      <c r="B349" s="4" t="s">
        <v>378</v>
      </c>
      <c r="C349" s="4" t="s">
        <v>222</v>
      </c>
      <c r="D349" t="s">
        <v>837</v>
      </c>
      <c r="E349">
        <v>560034</v>
      </c>
      <c r="F349" t="s">
        <v>19</v>
      </c>
      <c r="G349" s="7" t="s">
        <v>709</v>
      </c>
      <c r="H349" s="10" t="s">
        <v>701</v>
      </c>
      <c r="I349" s="4" t="s">
        <v>863</v>
      </c>
      <c r="J349" t="s">
        <v>887</v>
      </c>
      <c r="K349" s="4" t="s">
        <v>888</v>
      </c>
      <c r="L349" s="12">
        <v>0.41</v>
      </c>
    </row>
    <row r="350" spans="1:12" ht="15.75" x14ac:dyDescent="0.25">
      <c r="A350" t="str">
        <f>LEFT(B350, FIND(" ",B350)-1)</f>
        <v>Moxie</v>
      </c>
      <c r="B350" s="4" t="s">
        <v>384</v>
      </c>
      <c r="C350" s="4" t="s">
        <v>83</v>
      </c>
      <c r="D350" t="s">
        <v>837</v>
      </c>
      <c r="E350">
        <v>560034</v>
      </c>
      <c r="F350" t="s">
        <v>19</v>
      </c>
      <c r="G350" s="7" t="s">
        <v>551</v>
      </c>
      <c r="H350" s="10" t="s">
        <v>549</v>
      </c>
      <c r="I350" s="4" t="s">
        <v>847</v>
      </c>
      <c r="J350" t="s">
        <v>887</v>
      </c>
      <c r="K350" s="4" t="s">
        <v>889</v>
      </c>
      <c r="L350" s="12">
        <v>0.24</v>
      </c>
    </row>
    <row r="351" spans="1:12" ht="15.75" x14ac:dyDescent="0.25">
      <c r="A351" t="str">
        <f>LEFT(B351, FIND(" ",B351)-1)</f>
        <v>Moxie</v>
      </c>
      <c r="B351" s="4" t="s">
        <v>180</v>
      </c>
      <c r="C351" s="4" t="s">
        <v>81</v>
      </c>
      <c r="D351" t="s">
        <v>837</v>
      </c>
      <c r="E351">
        <v>560034</v>
      </c>
      <c r="F351" t="s">
        <v>19</v>
      </c>
      <c r="G351" s="7" t="s">
        <v>595</v>
      </c>
      <c r="H351" s="10" t="s">
        <v>568</v>
      </c>
      <c r="I351" s="4" t="s">
        <v>98</v>
      </c>
      <c r="J351" t="s">
        <v>887</v>
      </c>
      <c r="K351" s="4" t="s">
        <v>889</v>
      </c>
      <c r="L351" t="s">
        <v>106</v>
      </c>
    </row>
    <row r="352" spans="1:12" ht="15.75" x14ac:dyDescent="0.25">
      <c r="A352" t="str">
        <f>LEFT(B352, FIND(" ",B352)-1)</f>
        <v>Moxie</v>
      </c>
      <c r="B352" s="4" t="s">
        <v>467</v>
      </c>
      <c r="C352" s="4" t="s">
        <v>81</v>
      </c>
      <c r="D352" t="s">
        <v>837</v>
      </c>
      <c r="E352">
        <v>560034</v>
      </c>
      <c r="F352" t="s">
        <v>19</v>
      </c>
      <c r="G352" s="7" t="s">
        <v>784</v>
      </c>
      <c r="H352" s="10" t="s">
        <v>785</v>
      </c>
      <c r="I352" s="4" t="s">
        <v>853</v>
      </c>
      <c r="J352" t="s">
        <v>887</v>
      </c>
      <c r="K352" s="4" t="s">
        <v>888</v>
      </c>
      <c r="L352" s="12">
        <v>0.15</v>
      </c>
    </row>
    <row r="353" spans="1:12" ht="15.75" x14ac:dyDescent="0.25">
      <c r="A353" t="str">
        <f>LEFT(B353, FIND(" ",B353)-1)</f>
        <v>Moxie</v>
      </c>
      <c r="B353" s="4" t="s">
        <v>467</v>
      </c>
      <c r="C353" s="4" t="s">
        <v>222</v>
      </c>
      <c r="D353" t="s">
        <v>837</v>
      </c>
      <c r="E353">
        <v>560034</v>
      </c>
      <c r="F353" t="s">
        <v>19</v>
      </c>
      <c r="G353" s="7" t="s">
        <v>816</v>
      </c>
      <c r="H353" s="10" t="s">
        <v>817</v>
      </c>
      <c r="I353" s="4" t="s">
        <v>856</v>
      </c>
      <c r="J353" t="s">
        <v>887</v>
      </c>
      <c r="K353" s="4" t="s">
        <v>889</v>
      </c>
      <c r="L353" s="12">
        <v>0.44</v>
      </c>
    </row>
    <row r="354" spans="1:12" x14ac:dyDescent="0.25">
      <c r="A354" t="s">
        <v>988</v>
      </c>
      <c r="B354" t="s">
        <v>989</v>
      </c>
      <c r="C354" t="s">
        <v>932</v>
      </c>
      <c r="D354" t="s">
        <v>18</v>
      </c>
      <c r="E354">
        <v>560034</v>
      </c>
      <c r="F354" t="s">
        <v>19</v>
      </c>
      <c r="G354" s="6">
        <v>749</v>
      </c>
      <c r="H354" t="s">
        <v>997</v>
      </c>
      <c r="I354" t="s">
        <v>1005</v>
      </c>
      <c r="J354" t="s">
        <v>887</v>
      </c>
      <c r="K354" t="s">
        <v>889</v>
      </c>
      <c r="L354" s="12">
        <v>0.09</v>
      </c>
    </row>
    <row r="355" spans="1:12" ht="15.75" x14ac:dyDescent="0.25">
      <c r="A355" s="4" t="s">
        <v>988</v>
      </c>
      <c r="B355" s="4" t="s">
        <v>989</v>
      </c>
      <c r="C355" s="4" t="s">
        <v>932</v>
      </c>
      <c r="D355" t="s">
        <v>18</v>
      </c>
      <c r="E355">
        <v>560034</v>
      </c>
      <c r="F355" t="s">
        <v>19</v>
      </c>
      <c r="G355" s="7">
        <v>749</v>
      </c>
      <c r="H355" s="4" t="s">
        <v>997</v>
      </c>
      <c r="I355" s="4" t="s">
        <v>1005</v>
      </c>
      <c r="J355" t="s">
        <v>887</v>
      </c>
      <c r="K355" t="s">
        <v>889</v>
      </c>
      <c r="L355" s="12">
        <v>0.09</v>
      </c>
    </row>
    <row r="356" spans="1:12" ht="15.75" x14ac:dyDescent="0.25">
      <c r="A356" s="4" t="s">
        <v>988</v>
      </c>
      <c r="B356" s="4" t="s">
        <v>989</v>
      </c>
      <c r="C356" s="4" t="s">
        <v>932</v>
      </c>
      <c r="D356" t="s">
        <v>18</v>
      </c>
      <c r="E356">
        <v>560034</v>
      </c>
      <c r="F356" t="s">
        <v>19</v>
      </c>
      <c r="G356" s="7">
        <v>749</v>
      </c>
      <c r="H356" s="4" t="s">
        <v>997</v>
      </c>
      <c r="I356" s="4" t="s">
        <v>1005</v>
      </c>
      <c r="J356" t="s">
        <v>887</v>
      </c>
      <c r="K356" t="s">
        <v>889</v>
      </c>
      <c r="L356" s="12">
        <v>0.09</v>
      </c>
    </row>
    <row r="357" spans="1:12" x14ac:dyDescent="0.25">
      <c r="A357" t="s">
        <v>973</v>
      </c>
      <c r="B357" t="s">
        <v>974</v>
      </c>
      <c r="C357" t="s">
        <v>975</v>
      </c>
      <c r="D357" t="s">
        <v>18</v>
      </c>
      <c r="E357">
        <v>560034</v>
      </c>
      <c r="F357" t="s">
        <v>19</v>
      </c>
      <c r="G357" s="6">
        <v>156</v>
      </c>
      <c r="H357" t="s">
        <v>549</v>
      </c>
      <c r="I357" t="s">
        <v>959</v>
      </c>
      <c r="J357" t="s">
        <v>887</v>
      </c>
      <c r="K357" t="s">
        <v>889</v>
      </c>
      <c r="L357" s="12">
        <v>0.47</v>
      </c>
    </row>
    <row r="358" spans="1:12" ht="15.75" x14ac:dyDescent="0.25">
      <c r="A358" t="str">
        <f>LEFT(B358, FIND(" ",B358)-1)</f>
        <v>Mystiq</v>
      </c>
      <c r="B358" s="4" t="s">
        <v>314</v>
      </c>
      <c r="C358" s="4" t="s">
        <v>250</v>
      </c>
      <c r="D358" t="s">
        <v>837</v>
      </c>
      <c r="E358">
        <v>560034</v>
      </c>
      <c r="F358" t="s">
        <v>19</v>
      </c>
      <c r="G358" s="7" t="s">
        <v>549</v>
      </c>
      <c r="H358" s="10" t="s">
        <v>640</v>
      </c>
      <c r="I358" s="4" t="s">
        <v>875</v>
      </c>
      <c r="J358" t="s">
        <v>887</v>
      </c>
      <c r="K358" s="4" t="s">
        <v>888</v>
      </c>
      <c r="L358" s="12">
        <v>0.33</v>
      </c>
    </row>
    <row r="359" spans="1:12" ht="15.75" x14ac:dyDescent="0.25">
      <c r="A359" t="str">
        <f>LEFT(B359, FIND(" ",B359)-1)</f>
        <v>Mystiq</v>
      </c>
      <c r="B359" s="4" t="s">
        <v>411</v>
      </c>
      <c r="C359" s="4" t="s">
        <v>240</v>
      </c>
      <c r="D359" t="s">
        <v>837</v>
      </c>
      <c r="E359">
        <v>560034</v>
      </c>
      <c r="F359" t="s">
        <v>19</v>
      </c>
      <c r="G359" s="7" t="s">
        <v>604</v>
      </c>
      <c r="H359" s="10" t="s">
        <v>738</v>
      </c>
      <c r="I359" s="4" t="s">
        <v>845</v>
      </c>
      <c r="J359" t="s">
        <v>887</v>
      </c>
      <c r="K359" s="4" t="s">
        <v>889</v>
      </c>
      <c r="L359" s="12">
        <v>0.25</v>
      </c>
    </row>
    <row r="360" spans="1:12" ht="15.75" x14ac:dyDescent="0.25">
      <c r="A360" t="str">
        <f>LEFT(B360, FIND(" ",B360)-1)</f>
        <v>Nat</v>
      </c>
      <c r="B360" s="4" t="s">
        <v>224</v>
      </c>
      <c r="C360" s="4" t="s">
        <v>83</v>
      </c>
      <c r="D360" t="s">
        <v>837</v>
      </c>
      <c r="E360">
        <v>560034</v>
      </c>
      <c r="F360" t="s">
        <v>19</v>
      </c>
      <c r="G360" s="7" t="s">
        <v>543</v>
      </c>
      <c r="H360" s="10" t="s">
        <v>544</v>
      </c>
      <c r="I360" s="4" t="s">
        <v>843</v>
      </c>
      <c r="J360" t="s">
        <v>887</v>
      </c>
      <c r="K360" s="4" t="s">
        <v>889</v>
      </c>
      <c r="L360" s="12">
        <v>0.06</v>
      </c>
    </row>
    <row r="361" spans="1:12" ht="15.75" x14ac:dyDescent="0.25">
      <c r="A361" t="str">
        <f>LEFT(B361, FIND(" ",B361)-1)</f>
        <v>Naturali</v>
      </c>
      <c r="B361" s="4" t="s">
        <v>440</v>
      </c>
      <c r="C361" s="4" t="s">
        <v>81</v>
      </c>
      <c r="D361" t="s">
        <v>837</v>
      </c>
      <c r="E361">
        <v>560034</v>
      </c>
      <c r="F361" t="s">
        <v>19</v>
      </c>
      <c r="G361" s="7" t="s">
        <v>762</v>
      </c>
      <c r="H361" s="10" t="s">
        <v>98</v>
      </c>
      <c r="I361" s="4" t="s">
        <v>98</v>
      </c>
      <c r="J361" t="s">
        <v>887</v>
      </c>
      <c r="K361" s="4" t="s">
        <v>889</v>
      </c>
      <c r="L361" t="s">
        <v>106</v>
      </c>
    </row>
    <row r="362" spans="1:12" x14ac:dyDescent="0.25">
      <c r="A362" t="s">
        <v>906</v>
      </c>
      <c r="B362" t="s">
        <v>907</v>
      </c>
      <c r="C362" t="s">
        <v>932</v>
      </c>
      <c r="D362" t="s">
        <v>18</v>
      </c>
      <c r="E362">
        <v>560034</v>
      </c>
      <c r="F362" t="s">
        <v>19</v>
      </c>
      <c r="G362" s="6">
        <v>228</v>
      </c>
      <c r="H362" t="s">
        <v>592</v>
      </c>
      <c r="I362" t="s">
        <v>957</v>
      </c>
      <c r="J362" t="s">
        <v>887</v>
      </c>
      <c r="K362" t="s">
        <v>889</v>
      </c>
      <c r="L362" s="12">
        <v>0.28000000000000003</v>
      </c>
    </row>
    <row r="363" spans="1:12" x14ac:dyDescent="0.25">
      <c r="A363" t="s">
        <v>906</v>
      </c>
      <c r="B363" t="s">
        <v>908</v>
      </c>
      <c r="C363" t="s">
        <v>932</v>
      </c>
      <c r="D363" t="s">
        <v>18</v>
      </c>
      <c r="E363">
        <v>560034</v>
      </c>
      <c r="F363" t="s">
        <v>19</v>
      </c>
      <c r="G363" s="6">
        <v>237</v>
      </c>
      <c r="H363" t="s">
        <v>592</v>
      </c>
      <c r="I363" t="s">
        <v>958</v>
      </c>
      <c r="J363" t="s">
        <v>887</v>
      </c>
      <c r="K363" t="s">
        <v>889</v>
      </c>
      <c r="L363" s="12">
        <v>0.25</v>
      </c>
    </row>
    <row r="364" spans="1:12" x14ac:dyDescent="0.25">
      <c r="A364" t="s">
        <v>906</v>
      </c>
      <c r="B364" t="s">
        <v>909</v>
      </c>
      <c r="C364" t="s">
        <v>932</v>
      </c>
      <c r="D364" t="s">
        <v>18</v>
      </c>
      <c r="E364">
        <v>560034</v>
      </c>
      <c r="F364" t="s">
        <v>19</v>
      </c>
      <c r="G364" s="6">
        <v>234</v>
      </c>
      <c r="H364" t="s">
        <v>943</v>
      </c>
      <c r="I364" t="s">
        <v>957</v>
      </c>
      <c r="J364" t="s">
        <v>887</v>
      </c>
      <c r="K364" t="s">
        <v>888</v>
      </c>
      <c r="L364" s="12">
        <v>0.28000000000000003</v>
      </c>
    </row>
    <row r="365" spans="1:12" x14ac:dyDescent="0.25">
      <c r="A365" t="s">
        <v>906</v>
      </c>
      <c r="B365" t="s">
        <v>923</v>
      </c>
      <c r="C365" t="s">
        <v>932</v>
      </c>
      <c r="D365" t="s">
        <v>18</v>
      </c>
      <c r="E365">
        <v>560034</v>
      </c>
      <c r="F365" t="s">
        <v>19</v>
      </c>
      <c r="G365" s="6">
        <v>239</v>
      </c>
      <c r="H365" t="s">
        <v>592</v>
      </c>
      <c r="I365" t="s">
        <v>958</v>
      </c>
      <c r="J365" t="s">
        <v>887</v>
      </c>
      <c r="K365" t="s">
        <v>889</v>
      </c>
      <c r="L365" s="12">
        <v>0.25</v>
      </c>
    </row>
    <row r="366" spans="1:12" x14ac:dyDescent="0.25">
      <c r="A366" t="s">
        <v>906</v>
      </c>
      <c r="B366" t="s">
        <v>907</v>
      </c>
      <c r="C366" t="s">
        <v>932</v>
      </c>
      <c r="D366" t="s">
        <v>18</v>
      </c>
      <c r="E366">
        <v>560034</v>
      </c>
      <c r="F366" t="s">
        <v>19</v>
      </c>
      <c r="G366" s="6">
        <v>228</v>
      </c>
      <c r="H366" t="s">
        <v>592</v>
      </c>
      <c r="I366" t="s">
        <v>957</v>
      </c>
      <c r="J366" t="s">
        <v>887</v>
      </c>
      <c r="K366" t="s">
        <v>889</v>
      </c>
      <c r="L366" s="12">
        <v>0.28000000000000003</v>
      </c>
    </row>
    <row r="367" spans="1:12" x14ac:dyDescent="0.25">
      <c r="A367" t="s">
        <v>906</v>
      </c>
      <c r="B367" t="s">
        <v>929</v>
      </c>
      <c r="C367" t="s">
        <v>940</v>
      </c>
      <c r="D367" t="s">
        <v>18</v>
      </c>
      <c r="E367">
        <v>560034</v>
      </c>
      <c r="F367" t="s">
        <v>19</v>
      </c>
      <c r="G367" s="6">
        <v>226</v>
      </c>
      <c r="H367" t="s">
        <v>947</v>
      </c>
      <c r="I367" t="s">
        <v>967</v>
      </c>
      <c r="J367" t="s">
        <v>887</v>
      </c>
      <c r="K367" t="s">
        <v>889</v>
      </c>
      <c r="L367" s="12">
        <v>0.37</v>
      </c>
    </row>
    <row r="368" spans="1:12" x14ac:dyDescent="0.25">
      <c r="A368" t="s">
        <v>906</v>
      </c>
      <c r="B368" t="s">
        <v>971</v>
      </c>
      <c r="C368" t="s">
        <v>932</v>
      </c>
      <c r="D368" t="s">
        <v>18</v>
      </c>
      <c r="E368">
        <v>560034</v>
      </c>
      <c r="F368" t="s">
        <v>19</v>
      </c>
      <c r="G368" s="6">
        <v>234</v>
      </c>
      <c r="H368" t="s">
        <v>943</v>
      </c>
      <c r="I368" t="s">
        <v>957</v>
      </c>
      <c r="J368" t="s">
        <v>887</v>
      </c>
      <c r="K368" t="s">
        <v>889</v>
      </c>
      <c r="L368" s="12">
        <v>0.28000000000000003</v>
      </c>
    </row>
    <row r="369" spans="1:12" x14ac:dyDescent="0.25">
      <c r="A369" t="s">
        <v>906</v>
      </c>
      <c r="B369" t="s">
        <v>923</v>
      </c>
      <c r="C369" t="s">
        <v>932</v>
      </c>
      <c r="D369" t="s">
        <v>18</v>
      </c>
      <c r="E369">
        <v>560034</v>
      </c>
      <c r="F369" t="s">
        <v>19</v>
      </c>
      <c r="G369" s="6">
        <v>239</v>
      </c>
      <c r="H369" t="s">
        <v>592</v>
      </c>
      <c r="I369" t="s">
        <v>958</v>
      </c>
      <c r="J369" t="s">
        <v>887</v>
      </c>
      <c r="K369" t="s">
        <v>889</v>
      </c>
      <c r="L369" s="12">
        <v>0.25</v>
      </c>
    </row>
    <row r="370" spans="1:12" x14ac:dyDescent="0.25">
      <c r="A370" t="s">
        <v>906</v>
      </c>
      <c r="B370" t="s">
        <v>971</v>
      </c>
      <c r="C370" t="s">
        <v>932</v>
      </c>
      <c r="D370" t="s">
        <v>18</v>
      </c>
      <c r="E370">
        <v>560034</v>
      </c>
      <c r="F370" t="s">
        <v>19</v>
      </c>
      <c r="G370" s="6">
        <v>234</v>
      </c>
      <c r="H370" t="s">
        <v>943</v>
      </c>
      <c r="I370" t="s">
        <v>957</v>
      </c>
      <c r="J370" t="s">
        <v>887</v>
      </c>
      <c r="K370" t="s">
        <v>889</v>
      </c>
      <c r="L370" s="12">
        <v>0.28000000000000003</v>
      </c>
    </row>
    <row r="371" spans="1:12" x14ac:dyDescent="0.25">
      <c r="A371" t="s">
        <v>906</v>
      </c>
      <c r="B371" t="s">
        <v>909</v>
      </c>
      <c r="C371" t="s">
        <v>932</v>
      </c>
      <c r="D371" t="s">
        <v>18</v>
      </c>
      <c r="E371">
        <v>560034</v>
      </c>
      <c r="F371" t="s">
        <v>19</v>
      </c>
      <c r="G371" s="6">
        <v>234</v>
      </c>
      <c r="H371" t="s">
        <v>943</v>
      </c>
      <c r="I371" t="s">
        <v>957</v>
      </c>
      <c r="J371" t="s">
        <v>887</v>
      </c>
      <c r="K371" t="s">
        <v>888</v>
      </c>
      <c r="L371" s="12">
        <v>0.28000000000000003</v>
      </c>
    </row>
    <row r="372" spans="1:12" x14ac:dyDescent="0.25">
      <c r="A372" t="s">
        <v>906</v>
      </c>
      <c r="B372" t="s">
        <v>908</v>
      </c>
      <c r="C372" t="s">
        <v>932</v>
      </c>
      <c r="D372" t="s">
        <v>18</v>
      </c>
      <c r="E372">
        <v>560034</v>
      </c>
      <c r="F372" t="s">
        <v>19</v>
      </c>
      <c r="G372" s="6">
        <v>237</v>
      </c>
      <c r="H372" t="s">
        <v>592</v>
      </c>
      <c r="I372" t="s">
        <v>958</v>
      </c>
      <c r="J372" t="s">
        <v>887</v>
      </c>
      <c r="K372" t="s">
        <v>889</v>
      </c>
      <c r="L372" s="12">
        <v>0.25</v>
      </c>
    </row>
    <row r="373" spans="1:12" x14ac:dyDescent="0.25">
      <c r="A373" t="s">
        <v>906</v>
      </c>
      <c r="B373" t="s">
        <v>972</v>
      </c>
      <c r="C373" t="s">
        <v>930</v>
      </c>
      <c r="D373" t="s">
        <v>18</v>
      </c>
      <c r="E373">
        <v>560034</v>
      </c>
      <c r="F373" t="s">
        <v>19</v>
      </c>
      <c r="G373" s="6">
        <v>279</v>
      </c>
      <c r="H373" t="s">
        <v>947</v>
      </c>
      <c r="I373" t="s">
        <v>980</v>
      </c>
      <c r="J373" t="s">
        <v>887</v>
      </c>
      <c r="K373" t="s">
        <v>889</v>
      </c>
      <c r="L373" s="12">
        <v>0.22</v>
      </c>
    </row>
    <row r="374" spans="1:12" x14ac:dyDescent="0.25">
      <c r="A374" t="s">
        <v>906</v>
      </c>
      <c r="B374" t="s">
        <v>907</v>
      </c>
      <c r="C374" t="s">
        <v>932</v>
      </c>
      <c r="D374" t="s">
        <v>18</v>
      </c>
      <c r="E374">
        <v>560034</v>
      </c>
      <c r="F374" t="s">
        <v>19</v>
      </c>
      <c r="G374" s="6">
        <v>228</v>
      </c>
      <c r="H374" t="s">
        <v>592</v>
      </c>
      <c r="I374" t="s">
        <v>957</v>
      </c>
      <c r="J374" t="s">
        <v>887</v>
      </c>
      <c r="K374" t="s">
        <v>889</v>
      </c>
      <c r="L374" s="12">
        <v>0.28000000000000003</v>
      </c>
    </row>
    <row r="375" spans="1:12" ht="15.75" x14ac:dyDescent="0.25">
      <c r="A375" s="4" t="s">
        <v>906</v>
      </c>
      <c r="B375" s="4" t="s">
        <v>929</v>
      </c>
      <c r="C375" s="4" t="s">
        <v>940</v>
      </c>
      <c r="D375" t="s">
        <v>18</v>
      </c>
      <c r="E375">
        <v>560034</v>
      </c>
      <c r="F375" t="s">
        <v>19</v>
      </c>
      <c r="G375" s="7">
        <v>226</v>
      </c>
      <c r="H375" s="4" t="s">
        <v>947</v>
      </c>
      <c r="I375" s="4" t="s">
        <v>967</v>
      </c>
      <c r="J375" t="s">
        <v>887</v>
      </c>
      <c r="K375" t="s">
        <v>889</v>
      </c>
      <c r="L375" s="12">
        <v>0.37</v>
      </c>
    </row>
    <row r="376" spans="1:12" ht="15.75" x14ac:dyDescent="0.25">
      <c r="A376" t="str">
        <f>LEFT(B376, FIND(" ",B376)-1)</f>
        <v>Navratna</v>
      </c>
      <c r="B376" s="4" t="s">
        <v>236</v>
      </c>
      <c r="C376" s="4" t="s">
        <v>237</v>
      </c>
      <c r="D376" t="s">
        <v>837</v>
      </c>
      <c r="E376">
        <v>560034</v>
      </c>
      <c r="F376" t="s">
        <v>19</v>
      </c>
      <c r="G376" s="7" t="s">
        <v>561</v>
      </c>
      <c r="H376" s="10" t="s">
        <v>98</v>
      </c>
      <c r="I376" s="4" t="s">
        <v>98</v>
      </c>
      <c r="J376" t="s">
        <v>887</v>
      </c>
      <c r="K376" s="4" t="s">
        <v>889</v>
      </c>
      <c r="L376" t="s">
        <v>106</v>
      </c>
    </row>
    <row r="377" spans="1:12" ht="15.75" x14ac:dyDescent="0.25">
      <c r="A377" t="str">
        <f>LEFT(B377, FIND(" ",B377)-1)</f>
        <v>Navratna</v>
      </c>
      <c r="B377" s="4" t="s">
        <v>278</v>
      </c>
      <c r="C377" s="4" t="s">
        <v>81</v>
      </c>
      <c r="D377" t="s">
        <v>837</v>
      </c>
      <c r="E377">
        <v>560034</v>
      </c>
      <c r="F377" t="s">
        <v>19</v>
      </c>
      <c r="G377" s="7" t="s">
        <v>612</v>
      </c>
      <c r="H377" s="10" t="s">
        <v>613</v>
      </c>
      <c r="I377" s="4" t="s">
        <v>839</v>
      </c>
      <c r="J377" t="s">
        <v>887</v>
      </c>
      <c r="K377" s="4" t="s">
        <v>889</v>
      </c>
      <c r="L377" s="12">
        <v>0.09</v>
      </c>
    </row>
    <row r="378" spans="1:12" ht="15.75" x14ac:dyDescent="0.25">
      <c r="A378" s="4" t="s">
        <v>1026</v>
      </c>
      <c r="B378" s="4" t="s">
        <v>1027</v>
      </c>
      <c r="C378" s="4" t="s">
        <v>932</v>
      </c>
      <c r="D378" t="s">
        <v>18</v>
      </c>
      <c r="E378">
        <v>560034</v>
      </c>
      <c r="F378" t="s">
        <v>19</v>
      </c>
      <c r="G378" s="7">
        <v>1899</v>
      </c>
      <c r="H378" s="4" t="s">
        <v>1039</v>
      </c>
      <c r="I378" s="4" t="s">
        <v>1041</v>
      </c>
      <c r="J378" t="s">
        <v>887</v>
      </c>
      <c r="K378" t="s">
        <v>889</v>
      </c>
      <c r="L378" s="12">
        <v>0.16</v>
      </c>
    </row>
    <row r="379" spans="1:12" ht="15.75" x14ac:dyDescent="0.25">
      <c r="A379" s="4" t="s">
        <v>1026</v>
      </c>
      <c r="B379" s="4" t="s">
        <v>1028</v>
      </c>
      <c r="C379" s="4" t="s">
        <v>932</v>
      </c>
      <c r="D379" t="s">
        <v>18</v>
      </c>
      <c r="E379">
        <v>560034</v>
      </c>
      <c r="F379" t="s">
        <v>19</v>
      </c>
      <c r="G379" s="7">
        <v>1827</v>
      </c>
      <c r="H379" s="4" t="s">
        <v>1040</v>
      </c>
      <c r="I379" s="4" t="s">
        <v>1042</v>
      </c>
      <c r="J379" t="s">
        <v>887</v>
      </c>
      <c r="K379" t="s">
        <v>889</v>
      </c>
      <c r="L379" s="12">
        <v>0.03</v>
      </c>
    </row>
    <row r="380" spans="1:12" ht="15.75" x14ac:dyDescent="0.25">
      <c r="A380" t="str">
        <f>LEFT(B380, FIND(" ",B380)-1)</f>
        <v>Organix</v>
      </c>
      <c r="B380" s="4" t="s">
        <v>279</v>
      </c>
      <c r="C380" s="4" t="s">
        <v>250</v>
      </c>
      <c r="D380" t="s">
        <v>837</v>
      </c>
      <c r="E380">
        <v>560034</v>
      </c>
      <c r="F380" t="s">
        <v>19</v>
      </c>
      <c r="G380" s="7" t="s">
        <v>614</v>
      </c>
      <c r="H380" s="10" t="s">
        <v>585</v>
      </c>
      <c r="I380" s="4" t="s">
        <v>867</v>
      </c>
      <c r="J380" t="s">
        <v>887</v>
      </c>
      <c r="K380" s="4" t="s">
        <v>889</v>
      </c>
      <c r="L380" s="12">
        <v>0.42</v>
      </c>
    </row>
    <row r="381" spans="1:12" ht="15.75" x14ac:dyDescent="0.25">
      <c r="A381" t="str">
        <f>LEFT(B381, FIND(" ",B381)-1)</f>
        <v>Organix</v>
      </c>
      <c r="B381" s="4" t="s">
        <v>285</v>
      </c>
      <c r="C381" s="4" t="s">
        <v>250</v>
      </c>
      <c r="D381" t="s">
        <v>837</v>
      </c>
      <c r="E381">
        <v>560034</v>
      </c>
      <c r="F381" t="s">
        <v>19</v>
      </c>
      <c r="G381" s="7" t="s">
        <v>621</v>
      </c>
      <c r="H381" s="10" t="s">
        <v>585</v>
      </c>
      <c r="I381" s="4" t="s">
        <v>869</v>
      </c>
      <c r="J381" t="s">
        <v>887</v>
      </c>
      <c r="K381" s="4" t="s">
        <v>889</v>
      </c>
      <c r="L381" s="12">
        <v>0.37</v>
      </c>
    </row>
    <row r="382" spans="1:12" ht="15.75" x14ac:dyDescent="0.25">
      <c r="A382" t="str">
        <f>LEFT(B382, FIND(" ",B382)-1)</f>
        <v>Organix</v>
      </c>
      <c r="B382" s="4" t="s">
        <v>297</v>
      </c>
      <c r="C382" s="4" t="s">
        <v>250</v>
      </c>
      <c r="D382" t="s">
        <v>837</v>
      </c>
      <c r="E382">
        <v>560034</v>
      </c>
      <c r="F382" t="s">
        <v>19</v>
      </c>
      <c r="G382" s="7" t="s">
        <v>621</v>
      </c>
      <c r="H382" s="10" t="s">
        <v>585</v>
      </c>
      <c r="I382" s="4" t="s">
        <v>869</v>
      </c>
      <c r="J382" t="s">
        <v>887</v>
      </c>
      <c r="K382" s="4" t="s">
        <v>889</v>
      </c>
      <c r="L382" s="12">
        <v>0.37</v>
      </c>
    </row>
    <row r="383" spans="1:12" ht="15.75" x14ac:dyDescent="0.25">
      <c r="A383" t="str">
        <f>LEFT(B383, FIND(" ",B383)-1)</f>
        <v>Organix</v>
      </c>
      <c r="B383" s="4" t="s">
        <v>322</v>
      </c>
      <c r="C383" s="4" t="s">
        <v>250</v>
      </c>
      <c r="D383" t="s">
        <v>837</v>
      </c>
      <c r="E383">
        <v>560034</v>
      </c>
      <c r="F383" t="s">
        <v>19</v>
      </c>
      <c r="G383" s="7" t="s">
        <v>621</v>
      </c>
      <c r="H383" s="10" t="s">
        <v>585</v>
      </c>
      <c r="I383" s="4" t="s">
        <v>869</v>
      </c>
      <c r="J383" t="s">
        <v>887</v>
      </c>
      <c r="K383" s="4" t="s">
        <v>889</v>
      </c>
      <c r="L383" s="12">
        <v>0.37</v>
      </c>
    </row>
    <row r="384" spans="1:12" ht="15.75" x14ac:dyDescent="0.25">
      <c r="A384" t="s">
        <v>17</v>
      </c>
      <c r="B384" s="4" t="s">
        <v>74</v>
      </c>
      <c r="C384" s="4" t="s">
        <v>48</v>
      </c>
      <c r="D384" t="s">
        <v>42</v>
      </c>
      <c r="E384">
        <v>560034</v>
      </c>
      <c r="F384" t="s">
        <v>19</v>
      </c>
      <c r="G384" s="6">
        <v>175</v>
      </c>
      <c r="H384" s="9" t="s">
        <v>106</v>
      </c>
      <c r="I384" s="3" t="s">
        <v>106</v>
      </c>
      <c r="J384" t="s">
        <v>887</v>
      </c>
      <c r="K384" s="4" t="s">
        <v>889</v>
      </c>
      <c r="L384" s="12" t="s">
        <v>885</v>
      </c>
    </row>
    <row r="385" spans="1:12" ht="15.75" x14ac:dyDescent="0.25">
      <c r="A385" t="s">
        <v>17</v>
      </c>
      <c r="B385" t="s">
        <v>191</v>
      </c>
      <c r="C385" t="s">
        <v>51</v>
      </c>
      <c r="D385" t="s">
        <v>42</v>
      </c>
      <c r="E385">
        <v>560034</v>
      </c>
      <c r="F385" t="s">
        <v>19</v>
      </c>
      <c r="G385" s="6">
        <v>670</v>
      </c>
      <c r="H385" s="9">
        <v>318</v>
      </c>
      <c r="I385" t="s">
        <v>195</v>
      </c>
      <c r="J385" t="s">
        <v>887</v>
      </c>
      <c r="K385" s="4" t="s">
        <v>889</v>
      </c>
      <c r="L385" s="12">
        <v>0.28999999999999998</v>
      </c>
    </row>
    <row r="386" spans="1:12" ht="15.75" x14ac:dyDescent="0.25">
      <c r="A386" t="str">
        <f>LEFT(B386, FIND(" ",B386)-1)</f>
        <v>Pantene</v>
      </c>
      <c r="B386" s="4" t="s">
        <v>428</v>
      </c>
      <c r="C386" s="4" t="s">
        <v>51</v>
      </c>
      <c r="D386" t="s">
        <v>837</v>
      </c>
      <c r="E386">
        <v>560034</v>
      </c>
      <c r="F386" t="s">
        <v>19</v>
      </c>
      <c r="G386" s="7" t="s">
        <v>751</v>
      </c>
      <c r="H386" s="10" t="s">
        <v>752</v>
      </c>
      <c r="I386" s="4" t="s">
        <v>863</v>
      </c>
      <c r="J386" t="s">
        <v>887</v>
      </c>
      <c r="K386" s="4" t="s">
        <v>889</v>
      </c>
      <c r="L386" s="12">
        <v>0.41</v>
      </c>
    </row>
    <row r="387" spans="1:12" ht="15.75" x14ac:dyDescent="0.25">
      <c r="A387" t="str">
        <f>LEFT(B387, FIND(" ",B387)-1)</f>
        <v>Pantene</v>
      </c>
      <c r="B387" s="4" t="s">
        <v>429</v>
      </c>
      <c r="C387" s="4" t="s">
        <v>51</v>
      </c>
      <c r="D387" t="s">
        <v>837</v>
      </c>
      <c r="E387">
        <v>560034</v>
      </c>
      <c r="F387" t="s">
        <v>19</v>
      </c>
      <c r="G387" s="7" t="s">
        <v>753</v>
      </c>
      <c r="H387" s="10" t="s">
        <v>687</v>
      </c>
      <c r="I387" s="4" t="s">
        <v>856</v>
      </c>
      <c r="J387" t="s">
        <v>887</v>
      </c>
      <c r="K387" s="4" t="s">
        <v>889</v>
      </c>
      <c r="L387" s="12">
        <v>0.44</v>
      </c>
    </row>
    <row r="388" spans="1:12" x14ac:dyDescent="0.25">
      <c r="A388" t="s">
        <v>17</v>
      </c>
      <c r="B388" t="s">
        <v>892</v>
      </c>
      <c r="C388" t="s">
        <v>930</v>
      </c>
      <c r="D388" t="s">
        <v>18</v>
      </c>
      <c r="E388">
        <v>560034</v>
      </c>
      <c r="F388" t="s">
        <v>19</v>
      </c>
      <c r="G388" s="6">
        <v>153</v>
      </c>
      <c r="H388" t="s">
        <v>613</v>
      </c>
      <c r="I388" t="s">
        <v>948</v>
      </c>
      <c r="J388" t="s">
        <v>887</v>
      </c>
      <c r="K388" t="s">
        <v>888</v>
      </c>
      <c r="L388" s="12">
        <v>0.12</v>
      </c>
    </row>
    <row r="389" spans="1:12" ht="15.75" x14ac:dyDescent="0.25">
      <c r="A389" t="s">
        <v>198</v>
      </c>
      <c r="B389" s="4" t="s">
        <v>72</v>
      </c>
      <c r="C389" s="4" t="s">
        <v>81</v>
      </c>
      <c r="D389" t="s">
        <v>42</v>
      </c>
      <c r="E389">
        <v>560034</v>
      </c>
      <c r="F389" t="s">
        <v>19</v>
      </c>
      <c r="G389" s="6">
        <v>149</v>
      </c>
      <c r="H389" s="9" t="s">
        <v>106</v>
      </c>
      <c r="I389" s="3" t="s">
        <v>106</v>
      </c>
      <c r="J389" t="s">
        <v>887</v>
      </c>
      <c r="K389" s="4" t="s">
        <v>889</v>
      </c>
      <c r="L389" s="12" t="s">
        <v>885</v>
      </c>
    </row>
    <row r="390" spans="1:12" ht="15.75" x14ac:dyDescent="0.25">
      <c r="A390" t="s">
        <v>198</v>
      </c>
      <c r="B390" t="s">
        <v>72</v>
      </c>
      <c r="C390" t="s">
        <v>83</v>
      </c>
      <c r="D390" t="s">
        <v>42</v>
      </c>
      <c r="E390">
        <v>560034</v>
      </c>
      <c r="F390" t="s">
        <v>19</v>
      </c>
      <c r="G390" s="6">
        <v>65</v>
      </c>
      <c r="H390" s="9" t="s">
        <v>98</v>
      </c>
      <c r="I390" t="s">
        <v>98</v>
      </c>
      <c r="J390" t="s">
        <v>887</v>
      </c>
      <c r="K390" s="4" t="s">
        <v>889</v>
      </c>
      <c r="L390" t="s">
        <v>106</v>
      </c>
    </row>
    <row r="391" spans="1:12" ht="15.75" x14ac:dyDescent="0.25">
      <c r="A391" t="str">
        <f>LEFT(B391, FIND(" ",B391)-1)</f>
        <v>Parachute</v>
      </c>
      <c r="B391" s="4" t="s">
        <v>218</v>
      </c>
      <c r="C391" s="4" t="s">
        <v>166</v>
      </c>
      <c r="D391" t="s">
        <v>837</v>
      </c>
      <c r="E391">
        <v>560034</v>
      </c>
      <c r="F391" t="s">
        <v>19</v>
      </c>
      <c r="G391" s="7" t="s">
        <v>535</v>
      </c>
      <c r="H391" s="10" t="s">
        <v>536</v>
      </c>
      <c r="I391" s="4" t="s">
        <v>839</v>
      </c>
      <c r="J391" t="s">
        <v>887</v>
      </c>
      <c r="K391" s="4" t="s">
        <v>888</v>
      </c>
      <c r="L391" s="12">
        <v>0.09</v>
      </c>
    </row>
    <row r="392" spans="1:12" ht="15.75" x14ac:dyDescent="0.25">
      <c r="A392" t="str">
        <f>LEFT(B392, FIND(" ",B392)-1)</f>
        <v>Parachute</v>
      </c>
      <c r="B392" s="4" t="s">
        <v>219</v>
      </c>
      <c r="C392" s="4" t="s">
        <v>45</v>
      </c>
      <c r="D392" t="s">
        <v>837</v>
      </c>
      <c r="E392">
        <v>560034</v>
      </c>
      <c r="F392" t="s">
        <v>19</v>
      </c>
      <c r="G392" s="7" t="s">
        <v>537</v>
      </c>
      <c r="H392" s="10" t="s">
        <v>538</v>
      </c>
      <c r="I392" s="4" t="s">
        <v>840</v>
      </c>
      <c r="J392" t="s">
        <v>887</v>
      </c>
      <c r="K392" s="4" t="s">
        <v>889</v>
      </c>
      <c r="L392" s="12">
        <v>0.16</v>
      </c>
    </row>
    <row r="393" spans="1:12" ht="15.75" x14ac:dyDescent="0.25">
      <c r="A393" t="str">
        <f>LEFT(B393, FIND(" ",B393)-1)</f>
        <v>Parachute</v>
      </c>
      <c r="B393" s="4" t="s">
        <v>226</v>
      </c>
      <c r="C393" s="4" t="s">
        <v>227</v>
      </c>
      <c r="D393" t="s">
        <v>837</v>
      </c>
      <c r="E393">
        <v>560034</v>
      </c>
      <c r="F393" t="s">
        <v>19</v>
      </c>
      <c r="G393" s="7" t="s">
        <v>547</v>
      </c>
      <c r="H393" s="10" t="s">
        <v>548</v>
      </c>
      <c r="I393" s="4" t="s">
        <v>845</v>
      </c>
      <c r="J393" t="s">
        <v>887</v>
      </c>
      <c r="K393" s="4" t="s">
        <v>889</v>
      </c>
      <c r="L393" s="12">
        <v>0.25</v>
      </c>
    </row>
    <row r="394" spans="1:12" ht="15.75" x14ac:dyDescent="0.25">
      <c r="A394" t="str">
        <f>LEFT(B394, FIND(" ",B394)-1)</f>
        <v>Parachute</v>
      </c>
      <c r="B394" s="4" t="s">
        <v>231</v>
      </c>
      <c r="C394" s="4" t="s">
        <v>132</v>
      </c>
      <c r="D394" t="s">
        <v>837</v>
      </c>
      <c r="E394">
        <v>560034</v>
      </c>
      <c r="F394" t="s">
        <v>19</v>
      </c>
      <c r="G394" s="7" t="s">
        <v>553</v>
      </c>
      <c r="H394" s="10" t="s">
        <v>554</v>
      </c>
      <c r="I394" s="4" t="s">
        <v>848</v>
      </c>
      <c r="J394" t="s">
        <v>887</v>
      </c>
      <c r="K394" s="4" t="s">
        <v>889</v>
      </c>
      <c r="L394" s="12">
        <v>0.18</v>
      </c>
    </row>
    <row r="395" spans="1:12" ht="15.75" x14ac:dyDescent="0.25">
      <c r="A395" t="str">
        <f>LEFT(B395, FIND(" ",B395)-1)</f>
        <v>Parachute</v>
      </c>
      <c r="B395" s="4" t="s">
        <v>219</v>
      </c>
      <c r="C395" s="4" t="s">
        <v>238</v>
      </c>
      <c r="D395" t="s">
        <v>837</v>
      </c>
      <c r="E395">
        <v>560034</v>
      </c>
      <c r="F395" t="s">
        <v>19</v>
      </c>
      <c r="G395" s="7" t="s">
        <v>533</v>
      </c>
      <c r="H395" s="10" t="s">
        <v>562</v>
      </c>
      <c r="I395" s="4" t="s">
        <v>851</v>
      </c>
      <c r="J395" t="s">
        <v>887</v>
      </c>
      <c r="K395" s="4" t="s">
        <v>889</v>
      </c>
      <c r="L395" s="12">
        <v>0.23</v>
      </c>
    </row>
    <row r="396" spans="1:12" ht="15.75" x14ac:dyDescent="0.25">
      <c r="A396" t="str">
        <f>LEFT(B396, FIND(" ",B396)-1)</f>
        <v>Parachute</v>
      </c>
      <c r="B396" s="4" t="s">
        <v>219</v>
      </c>
      <c r="C396" s="4" t="s">
        <v>238</v>
      </c>
      <c r="D396" t="s">
        <v>837</v>
      </c>
      <c r="E396">
        <v>560034</v>
      </c>
      <c r="F396" t="s">
        <v>19</v>
      </c>
      <c r="G396" s="7" t="s">
        <v>565</v>
      </c>
      <c r="H396" s="10" t="s">
        <v>566</v>
      </c>
      <c r="I396" s="4" t="s">
        <v>853</v>
      </c>
      <c r="J396" t="s">
        <v>887</v>
      </c>
      <c r="K396" s="4" t="s">
        <v>889</v>
      </c>
      <c r="L396" s="12">
        <v>0.15</v>
      </c>
    </row>
    <row r="397" spans="1:12" ht="15.75" x14ac:dyDescent="0.25">
      <c r="A397" t="str">
        <f>LEFT(B397, FIND(" ",B397)-1)</f>
        <v>Parachute</v>
      </c>
      <c r="B397" s="4" t="s">
        <v>242</v>
      </c>
      <c r="C397" s="4" t="s">
        <v>243</v>
      </c>
      <c r="D397" t="s">
        <v>837</v>
      </c>
      <c r="E397">
        <v>560034</v>
      </c>
      <c r="F397" t="s">
        <v>19</v>
      </c>
      <c r="G397" s="7" t="s">
        <v>567</v>
      </c>
      <c r="H397" s="10" t="s">
        <v>568</v>
      </c>
      <c r="I397" s="4" t="s">
        <v>854</v>
      </c>
      <c r="J397" t="s">
        <v>887</v>
      </c>
      <c r="K397" s="4" t="s">
        <v>888</v>
      </c>
      <c r="L397" s="12">
        <v>0.2</v>
      </c>
    </row>
    <row r="398" spans="1:12" ht="15.75" x14ac:dyDescent="0.25">
      <c r="A398" t="str">
        <f>LEFT(B398, FIND(" ",B398)-1)</f>
        <v>Parachute</v>
      </c>
      <c r="B398" s="4" t="s">
        <v>244</v>
      </c>
      <c r="C398" s="4" t="s">
        <v>234</v>
      </c>
      <c r="D398" t="s">
        <v>837</v>
      </c>
      <c r="E398">
        <v>560034</v>
      </c>
      <c r="F398" t="s">
        <v>19</v>
      </c>
      <c r="G398" s="7" t="s">
        <v>569</v>
      </c>
      <c r="H398" s="10" t="s">
        <v>570</v>
      </c>
      <c r="I398" s="4" t="s">
        <v>855</v>
      </c>
      <c r="J398" t="s">
        <v>887</v>
      </c>
      <c r="K398" s="4" t="s">
        <v>888</v>
      </c>
      <c r="L398" s="12">
        <v>0.36</v>
      </c>
    </row>
    <row r="399" spans="1:12" ht="15.75" x14ac:dyDescent="0.25">
      <c r="A399" t="str">
        <f>LEFT(B399, FIND(" ",B399)-1)</f>
        <v>Parachute</v>
      </c>
      <c r="B399" s="4" t="s">
        <v>226</v>
      </c>
      <c r="C399" s="4" t="s">
        <v>246</v>
      </c>
      <c r="D399" t="s">
        <v>837</v>
      </c>
      <c r="E399">
        <v>560034</v>
      </c>
      <c r="F399" t="s">
        <v>19</v>
      </c>
      <c r="G399" s="7" t="s">
        <v>573</v>
      </c>
      <c r="H399" s="10" t="s">
        <v>574</v>
      </c>
      <c r="I399" s="4" t="s">
        <v>856</v>
      </c>
      <c r="J399" t="s">
        <v>887</v>
      </c>
      <c r="K399" s="4" t="s">
        <v>889</v>
      </c>
      <c r="L399" s="12">
        <v>0.44</v>
      </c>
    </row>
    <row r="400" spans="1:12" ht="15.75" x14ac:dyDescent="0.25">
      <c r="A400" t="str">
        <f>LEFT(B400, FIND(" ",B400)-1)</f>
        <v>Parachute</v>
      </c>
      <c r="B400" s="4" t="s">
        <v>255</v>
      </c>
      <c r="C400" s="4" t="s">
        <v>256</v>
      </c>
      <c r="D400" t="s">
        <v>837</v>
      </c>
      <c r="E400">
        <v>560034</v>
      </c>
      <c r="F400" t="s">
        <v>19</v>
      </c>
      <c r="G400" s="7" t="s">
        <v>584</v>
      </c>
      <c r="H400" s="10" t="s">
        <v>585</v>
      </c>
      <c r="I400" s="4" t="s">
        <v>860</v>
      </c>
      <c r="J400" t="s">
        <v>887</v>
      </c>
      <c r="K400" s="4" t="s">
        <v>889</v>
      </c>
      <c r="L400" s="12">
        <v>0.3</v>
      </c>
    </row>
    <row r="401" spans="1:12" ht="15.75" x14ac:dyDescent="0.25">
      <c r="A401" t="str">
        <f>LEFT(B401, FIND(" ",B401)-1)</f>
        <v>Parachute</v>
      </c>
      <c r="B401" s="4" t="s">
        <v>265</v>
      </c>
      <c r="C401" s="4" t="s">
        <v>45</v>
      </c>
      <c r="D401" t="s">
        <v>837</v>
      </c>
      <c r="E401">
        <v>560034</v>
      </c>
      <c r="F401" t="s">
        <v>19</v>
      </c>
      <c r="G401" s="7" t="s">
        <v>594</v>
      </c>
      <c r="H401" s="10" t="s">
        <v>595</v>
      </c>
      <c r="I401" s="4" t="s">
        <v>845</v>
      </c>
      <c r="J401" t="s">
        <v>887</v>
      </c>
      <c r="K401" s="4" t="s">
        <v>888</v>
      </c>
      <c r="L401" s="12">
        <v>0.25</v>
      </c>
    </row>
    <row r="402" spans="1:12" ht="15.75" x14ac:dyDescent="0.25">
      <c r="A402" t="str">
        <f>LEFT(B402, FIND(" ",B402)-1)</f>
        <v>Parachute</v>
      </c>
      <c r="B402" s="4" t="s">
        <v>266</v>
      </c>
      <c r="C402" s="4" t="s">
        <v>45</v>
      </c>
      <c r="D402" t="s">
        <v>837</v>
      </c>
      <c r="E402">
        <v>560034</v>
      </c>
      <c r="F402" t="s">
        <v>19</v>
      </c>
      <c r="G402" s="7" t="s">
        <v>596</v>
      </c>
      <c r="H402" s="10" t="s">
        <v>597</v>
      </c>
      <c r="I402" s="4" t="s">
        <v>864</v>
      </c>
      <c r="J402" t="s">
        <v>887</v>
      </c>
      <c r="K402" s="4" t="s">
        <v>889</v>
      </c>
      <c r="L402" s="12">
        <v>0.46</v>
      </c>
    </row>
    <row r="403" spans="1:12" ht="15.75" x14ac:dyDescent="0.25">
      <c r="A403" t="str">
        <f>LEFT(B403, FIND(" ",B403)-1)</f>
        <v>Parachute</v>
      </c>
      <c r="B403" s="4" t="s">
        <v>268</v>
      </c>
      <c r="C403" s="4" t="s">
        <v>256</v>
      </c>
      <c r="D403" t="s">
        <v>837</v>
      </c>
      <c r="E403">
        <v>560034</v>
      </c>
      <c r="F403" t="s">
        <v>19</v>
      </c>
      <c r="G403" s="7" t="s">
        <v>584</v>
      </c>
      <c r="H403" s="10" t="s">
        <v>585</v>
      </c>
      <c r="I403" s="4" t="s">
        <v>860</v>
      </c>
      <c r="J403" t="s">
        <v>887</v>
      </c>
      <c r="K403" s="4" t="s">
        <v>889</v>
      </c>
      <c r="L403" s="12">
        <v>0.3</v>
      </c>
    </row>
    <row r="404" spans="1:12" ht="15.75" x14ac:dyDescent="0.25">
      <c r="A404" t="str">
        <f>LEFT(B404, FIND(" ",B404)-1)</f>
        <v>Parachute</v>
      </c>
      <c r="B404" s="4" t="s">
        <v>219</v>
      </c>
      <c r="C404" s="4" t="s">
        <v>113</v>
      </c>
      <c r="D404" t="s">
        <v>837</v>
      </c>
      <c r="E404">
        <v>560034</v>
      </c>
      <c r="F404" t="s">
        <v>19</v>
      </c>
      <c r="G404" s="7" t="s">
        <v>615</v>
      </c>
      <c r="H404" s="10" t="s">
        <v>616</v>
      </c>
      <c r="I404" s="4" t="s">
        <v>868</v>
      </c>
      <c r="J404" t="s">
        <v>887</v>
      </c>
      <c r="K404" s="4" t="s">
        <v>889</v>
      </c>
      <c r="L404" s="12">
        <v>0.22</v>
      </c>
    </row>
    <row r="405" spans="1:12" ht="15.75" x14ac:dyDescent="0.25">
      <c r="A405" t="str">
        <f>LEFT(B405, FIND(" ",B405)-1)</f>
        <v>Parachute</v>
      </c>
      <c r="B405" s="4" t="s">
        <v>280</v>
      </c>
      <c r="C405" s="4" t="s">
        <v>45</v>
      </c>
      <c r="D405" t="s">
        <v>837</v>
      </c>
      <c r="E405">
        <v>560034</v>
      </c>
      <c r="F405" t="s">
        <v>19</v>
      </c>
      <c r="G405" s="7" t="s">
        <v>548</v>
      </c>
      <c r="H405" s="10" t="s">
        <v>544</v>
      </c>
      <c r="I405" s="4" t="s">
        <v>863</v>
      </c>
      <c r="J405" t="s">
        <v>887</v>
      </c>
      <c r="K405" s="4" t="s">
        <v>889</v>
      </c>
      <c r="L405" s="12">
        <v>0.41</v>
      </c>
    </row>
    <row r="406" spans="1:12" ht="15.75" x14ac:dyDescent="0.25">
      <c r="A406" t="str">
        <f>LEFT(B406, FIND(" ",B406)-1)</f>
        <v>Parachute</v>
      </c>
      <c r="B406" s="4" t="s">
        <v>287</v>
      </c>
      <c r="C406" s="4" t="s">
        <v>45</v>
      </c>
      <c r="D406" t="s">
        <v>837</v>
      </c>
      <c r="E406">
        <v>560034</v>
      </c>
      <c r="F406" t="s">
        <v>19</v>
      </c>
      <c r="G406" s="7" t="s">
        <v>624</v>
      </c>
      <c r="H406" s="10" t="s">
        <v>625</v>
      </c>
      <c r="I406" s="4" t="s">
        <v>842</v>
      </c>
      <c r="J406" t="s">
        <v>887</v>
      </c>
      <c r="K406" s="4" t="s">
        <v>889</v>
      </c>
      <c r="L406" s="12">
        <v>0.17</v>
      </c>
    </row>
    <row r="407" spans="1:12" ht="15.75" x14ac:dyDescent="0.25">
      <c r="A407" t="str">
        <f>LEFT(B407, FIND(" ",B407)-1)</f>
        <v>Parachute</v>
      </c>
      <c r="B407" s="4" t="s">
        <v>293</v>
      </c>
      <c r="C407" s="4" t="s">
        <v>45</v>
      </c>
      <c r="D407" t="s">
        <v>837</v>
      </c>
      <c r="E407">
        <v>560034</v>
      </c>
      <c r="F407" t="s">
        <v>19</v>
      </c>
      <c r="G407" s="7" t="s">
        <v>633</v>
      </c>
      <c r="H407" s="10" t="s">
        <v>634</v>
      </c>
      <c r="I407" s="4" t="s">
        <v>870</v>
      </c>
      <c r="J407" t="s">
        <v>887</v>
      </c>
      <c r="K407" s="4" t="s">
        <v>889</v>
      </c>
      <c r="L407" s="12">
        <v>0.48</v>
      </c>
    </row>
    <row r="408" spans="1:12" ht="15.75" x14ac:dyDescent="0.25">
      <c r="A408" t="str">
        <f>LEFT(B408, FIND(" ",B408)-1)</f>
        <v>Parachute</v>
      </c>
      <c r="B408" s="4" t="s">
        <v>298</v>
      </c>
      <c r="C408" s="4" t="s">
        <v>45</v>
      </c>
      <c r="D408" t="s">
        <v>837</v>
      </c>
      <c r="E408">
        <v>560034</v>
      </c>
      <c r="F408" t="s">
        <v>19</v>
      </c>
      <c r="G408" s="7" t="s">
        <v>636</v>
      </c>
      <c r="H408" s="10" t="s">
        <v>634</v>
      </c>
      <c r="I408" s="4" t="s">
        <v>864</v>
      </c>
      <c r="J408" t="s">
        <v>887</v>
      </c>
      <c r="K408" s="4" t="s">
        <v>889</v>
      </c>
      <c r="L408" s="12">
        <v>0.46</v>
      </c>
    </row>
    <row r="409" spans="1:12" ht="15.75" x14ac:dyDescent="0.25">
      <c r="A409" t="str">
        <f>LEFT(B409, FIND(" ",B409)-1)</f>
        <v>Parachute</v>
      </c>
      <c r="B409" s="4" t="s">
        <v>299</v>
      </c>
      <c r="C409" s="4" t="s">
        <v>45</v>
      </c>
      <c r="D409" t="s">
        <v>837</v>
      </c>
      <c r="E409">
        <v>560034</v>
      </c>
      <c r="F409" t="s">
        <v>19</v>
      </c>
      <c r="G409" s="7" t="s">
        <v>637</v>
      </c>
      <c r="H409" s="10" t="s">
        <v>574</v>
      </c>
      <c r="I409" s="4" t="s">
        <v>98</v>
      </c>
      <c r="J409" t="s">
        <v>887</v>
      </c>
      <c r="K409" s="4" t="s">
        <v>889</v>
      </c>
      <c r="L409" t="s">
        <v>106</v>
      </c>
    </row>
    <row r="410" spans="1:12" ht="15.75" x14ac:dyDescent="0.25">
      <c r="A410" t="str">
        <f>LEFT(B410, FIND(" ",B410)-1)</f>
        <v>Parachute</v>
      </c>
      <c r="B410" s="4" t="s">
        <v>300</v>
      </c>
      <c r="C410" s="4" t="s">
        <v>45</v>
      </c>
      <c r="D410" t="s">
        <v>837</v>
      </c>
      <c r="E410">
        <v>560034</v>
      </c>
      <c r="F410" t="s">
        <v>19</v>
      </c>
      <c r="G410" s="7" t="s">
        <v>596</v>
      </c>
      <c r="H410" s="10" t="s">
        <v>597</v>
      </c>
      <c r="I410" s="4" t="s">
        <v>864</v>
      </c>
      <c r="J410" t="s">
        <v>887</v>
      </c>
      <c r="K410" s="4" t="s">
        <v>889</v>
      </c>
      <c r="L410" s="12">
        <v>0.46</v>
      </c>
    </row>
    <row r="411" spans="1:12" ht="15.75" x14ac:dyDescent="0.25">
      <c r="A411" t="str">
        <f>LEFT(B411, FIND(" ",B411)-1)</f>
        <v>Parachute</v>
      </c>
      <c r="B411" s="4" t="s">
        <v>301</v>
      </c>
      <c r="C411" s="4" t="s">
        <v>45</v>
      </c>
      <c r="D411" t="s">
        <v>837</v>
      </c>
      <c r="E411">
        <v>560034</v>
      </c>
      <c r="F411" t="s">
        <v>19</v>
      </c>
      <c r="G411" s="7" t="s">
        <v>594</v>
      </c>
      <c r="H411" s="10" t="s">
        <v>638</v>
      </c>
      <c r="I411" s="4" t="s">
        <v>847</v>
      </c>
      <c r="J411" t="s">
        <v>887</v>
      </c>
      <c r="K411" s="4" t="s">
        <v>889</v>
      </c>
      <c r="L411" s="12">
        <v>0.24</v>
      </c>
    </row>
    <row r="412" spans="1:12" ht="15.75" x14ac:dyDescent="0.25">
      <c r="A412" t="str">
        <f>LEFT(B412, FIND(" ",B412)-1)</f>
        <v>Parachute</v>
      </c>
      <c r="B412" s="4" t="s">
        <v>302</v>
      </c>
      <c r="C412" s="4" t="s">
        <v>246</v>
      </c>
      <c r="D412" t="s">
        <v>837</v>
      </c>
      <c r="E412">
        <v>560034</v>
      </c>
      <c r="F412" t="s">
        <v>19</v>
      </c>
      <c r="G412" s="7" t="s">
        <v>551</v>
      </c>
      <c r="H412" s="10" t="s">
        <v>533</v>
      </c>
      <c r="I412" s="4" t="s">
        <v>871</v>
      </c>
      <c r="J412" t="s">
        <v>887</v>
      </c>
      <c r="K412" s="4" t="s">
        <v>889</v>
      </c>
      <c r="L412" s="12">
        <v>0.31</v>
      </c>
    </row>
    <row r="413" spans="1:12" ht="15.75" x14ac:dyDescent="0.25">
      <c r="A413" t="str">
        <f>LEFT(B413, FIND(" ",B413)-1)</f>
        <v>Parachute</v>
      </c>
      <c r="B413" s="4" t="s">
        <v>315</v>
      </c>
      <c r="C413" s="4" t="s">
        <v>45</v>
      </c>
      <c r="D413" t="s">
        <v>837</v>
      </c>
      <c r="E413">
        <v>560034</v>
      </c>
      <c r="F413" t="s">
        <v>19</v>
      </c>
      <c r="G413" s="7" t="s">
        <v>573</v>
      </c>
      <c r="H413" s="10" t="s">
        <v>597</v>
      </c>
      <c r="I413" s="4" t="s">
        <v>852</v>
      </c>
      <c r="J413" t="s">
        <v>887</v>
      </c>
      <c r="K413" s="4" t="s">
        <v>889</v>
      </c>
      <c r="L413" s="12">
        <v>0.4</v>
      </c>
    </row>
    <row r="414" spans="1:12" ht="15.75" x14ac:dyDescent="0.25">
      <c r="A414" t="str">
        <f>LEFT(B414, FIND(" ",B414)-1)</f>
        <v>Parachute</v>
      </c>
      <c r="B414" s="4" t="s">
        <v>265</v>
      </c>
      <c r="C414" s="4" t="s">
        <v>45</v>
      </c>
      <c r="D414" t="s">
        <v>837</v>
      </c>
      <c r="E414">
        <v>560034</v>
      </c>
      <c r="F414" t="s">
        <v>19</v>
      </c>
      <c r="G414" s="7" t="s">
        <v>576</v>
      </c>
      <c r="H414" s="10" t="s">
        <v>544</v>
      </c>
      <c r="I414" s="4" t="s">
        <v>860</v>
      </c>
      <c r="J414" t="s">
        <v>887</v>
      </c>
      <c r="K414" s="4" t="s">
        <v>889</v>
      </c>
      <c r="L414" s="12">
        <v>0.3</v>
      </c>
    </row>
    <row r="415" spans="1:12" ht="15.75" x14ac:dyDescent="0.25">
      <c r="A415" t="str">
        <f>LEFT(B415, FIND(" ",B415)-1)</f>
        <v>Parachute</v>
      </c>
      <c r="B415" s="4" t="s">
        <v>395</v>
      </c>
      <c r="C415" s="4" t="s">
        <v>83</v>
      </c>
      <c r="D415" t="s">
        <v>837</v>
      </c>
      <c r="E415">
        <v>560034</v>
      </c>
      <c r="F415" t="s">
        <v>19</v>
      </c>
      <c r="G415" s="7" t="s">
        <v>723</v>
      </c>
      <c r="H415" s="10" t="s">
        <v>724</v>
      </c>
      <c r="I415" s="4" t="s">
        <v>868</v>
      </c>
      <c r="J415" t="s">
        <v>887</v>
      </c>
      <c r="K415" s="4" t="s">
        <v>889</v>
      </c>
      <c r="L415" s="12">
        <v>0.22</v>
      </c>
    </row>
    <row r="416" spans="1:12" ht="15.75" x14ac:dyDescent="0.25">
      <c r="A416" t="str">
        <f>LEFT(B416, FIND(" ",B416)-1)</f>
        <v>Parachute</v>
      </c>
      <c r="B416" s="4" t="s">
        <v>396</v>
      </c>
      <c r="C416" s="4" t="s">
        <v>83</v>
      </c>
      <c r="D416" t="s">
        <v>837</v>
      </c>
      <c r="E416">
        <v>560034</v>
      </c>
      <c r="F416" t="s">
        <v>19</v>
      </c>
      <c r="G416" s="7" t="s">
        <v>619</v>
      </c>
      <c r="H416" s="10" t="s">
        <v>592</v>
      </c>
      <c r="I416" s="4" t="s">
        <v>872</v>
      </c>
      <c r="J416" t="s">
        <v>887</v>
      </c>
      <c r="K416" s="4" t="s">
        <v>889</v>
      </c>
      <c r="L416" s="12">
        <v>0.5</v>
      </c>
    </row>
    <row r="417" spans="1:12" ht="15.75" x14ac:dyDescent="0.25">
      <c r="A417" t="str">
        <f>LEFT(B417, FIND(" ",B417)-1)</f>
        <v>Parachute</v>
      </c>
      <c r="B417" s="4" t="s">
        <v>413</v>
      </c>
      <c r="C417" s="4" t="s">
        <v>83</v>
      </c>
      <c r="D417" t="s">
        <v>837</v>
      </c>
      <c r="E417">
        <v>560034</v>
      </c>
      <c r="F417" t="s">
        <v>19</v>
      </c>
      <c r="G417" s="7" t="s">
        <v>701</v>
      </c>
      <c r="H417" s="10" t="s">
        <v>704</v>
      </c>
      <c r="I417" s="4" t="s">
        <v>839</v>
      </c>
      <c r="J417" t="s">
        <v>887</v>
      </c>
      <c r="K417" s="4" t="s">
        <v>889</v>
      </c>
      <c r="L417" s="12">
        <v>0.09</v>
      </c>
    </row>
    <row r="418" spans="1:12" ht="15.75" x14ac:dyDescent="0.25">
      <c r="A418" t="str">
        <f>LEFT(B418, FIND(" ",B418)-1)</f>
        <v>Parachute</v>
      </c>
      <c r="B418" s="4" t="s">
        <v>414</v>
      </c>
      <c r="C418" s="4" t="s">
        <v>240</v>
      </c>
      <c r="D418" t="s">
        <v>837</v>
      </c>
      <c r="E418">
        <v>560034</v>
      </c>
      <c r="F418" t="s">
        <v>19</v>
      </c>
      <c r="G418" s="7" t="s">
        <v>595</v>
      </c>
      <c r="H418" s="10" t="s">
        <v>585</v>
      </c>
      <c r="I418" s="4" t="s">
        <v>881</v>
      </c>
      <c r="J418" t="s">
        <v>887</v>
      </c>
      <c r="K418" s="4" t="s">
        <v>889</v>
      </c>
      <c r="L418" s="12">
        <v>0.49</v>
      </c>
    </row>
    <row r="419" spans="1:12" ht="15.75" x14ac:dyDescent="0.25">
      <c r="A419" t="str">
        <f>LEFT(B419, FIND(" ",B419)-1)</f>
        <v>Park</v>
      </c>
      <c r="B419" s="4" t="s">
        <v>501</v>
      </c>
      <c r="C419" s="4" t="s">
        <v>48</v>
      </c>
      <c r="D419" t="s">
        <v>837</v>
      </c>
      <c r="E419">
        <v>560034</v>
      </c>
      <c r="F419" t="s">
        <v>19</v>
      </c>
      <c r="G419" s="7" t="s">
        <v>706</v>
      </c>
      <c r="H419" s="10" t="s">
        <v>818</v>
      </c>
      <c r="I419" s="4" t="s">
        <v>843</v>
      </c>
      <c r="J419" t="s">
        <v>887</v>
      </c>
      <c r="K419" s="4" t="s">
        <v>889</v>
      </c>
      <c r="L419" s="12">
        <v>0.06</v>
      </c>
    </row>
    <row r="420" spans="1:12" ht="15.75" x14ac:dyDescent="0.25">
      <c r="A420" t="str">
        <f>LEFT(B420, FIND(" ",B420)-1)</f>
        <v>Patanjali</v>
      </c>
      <c r="B420" s="4" t="s">
        <v>281</v>
      </c>
      <c r="C420" s="4" t="s">
        <v>81</v>
      </c>
      <c r="D420" t="s">
        <v>837</v>
      </c>
      <c r="E420">
        <v>560034</v>
      </c>
      <c r="F420" t="s">
        <v>19</v>
      </c>
      <c r="G420" s="7" t="s">
        <v>617</v>
      </c>
      <c r="H420" s="10" t="s">
        <v>98</v>
      </c>
      <c r="I420" s="4" t="s">
        <v>98</v>
      </c>
      <c r="J420" t="s">
        <v>887</v>
      </c>
      <c r="K420" s="4" t="s">
        <v>889</v>
      </c>
      <c r="L420" t="s">
        <v>106</v>
      </c>
    </row>
    <row r="421" spans="1:12" ht="15.75" x14ac:dyDescent="0.25">
      <c r="A421" t="str">
        <f>LEFT(B421, FIND(" ",B421)-1)</f>
        <v>Patanjali</v>
      </c>
      <c r="B421" s="4" t="s">
        <v>320</v>
      </c>
      <c r="C421" s="4" t="s">
        <v>83</v>
      </c>
      <c r="D421" t="s">
        <v>837</v>
      </c>
      <c r="E421">
        <v>560034</v>
      </c>
      <c r="F421" t="s">
        <v>19</v>
      </c>
      <c r="G421" s="7" t="s">
        <v>651</v>
      </c>
      <c r="H421" s="10" t="s">
        <v>634</v>
      </c>
      <c r="I421" s="4" t="s">
        <v>866</v>
      </c>
      <c r="J421" t="s">
        <v>887</v>
      </c>
      <c r="K421" s="4" t="s">
        <v>889</v>
      </c>
      <c r="L421" s="12">
        <v>0.11</v>
      </c>
    </row>
    <row r="422" spans="1:12" x14ac:dyDescent="0.25">
      <c r="A422" t="s">
        <v>924</v>
      </c>
      <c r="B422" t="s">
        <v>925</v>
      </c>
      <c r="C422" t="s">
        <v>933</v>
      </c>
      <c r="D422" t="s">
        <v>18</v>
      </c>
      <c r="E422">
        <v>560034</v>
      </c>
      <c r="F422" t="s">
        <v>19</v>
      </c>
      <c r="G422" s="6">
        <v>321</v>
      </c>
      <c r="H422" t="s">
        <v>661</v>
      </c>
      <c r="I422" t="s">
        <v>965</v>
      </c>
      <c r="J422" t="s">
        <v>887</v>
      </c>
      <c r="K422" t="s">
        <v>889</v>
      </c>
      <c r="L422" s="12">
        <v>0.46</v>
      </c>
    </row>
    <row r="423" spans="1:12" x14ac:dyDescent="0.25">
      <c r="A423" t="s">
        <v>924</v>
      </c>
      <c r="B423" t="s">
        <v>925</v>
      </c>
      <c r="C423" t="s">
        <v>933</v>
      </c>
      <c r="D423" t="s">
        <v>18</v>
      </c>
      <c r="E423">
        <v>560034</v>
      </c>
      <c r="F423" t="s">
        <v>19</v>
      </c>
      <c r="G423" s="6">
        <v>321</v>
      </c>
      <c r="H423" t="s">
        <v>661</v>
      </c>
      <c r="I423" t="s">
        <v>965</v>
      </c>
      <c r="J423" t="s">
        <v>887</v>
      </c>
      <c r="K423" t="s">
        <v>889</v>
      </c>
      <c r="L423" s="12">
        <v>0.46</v>
      </c>
    </row>
    <row r="424" spans="1:12" ht="15.75" x14ac:dyDescent="0.25">
      <c r="A424" t="str">
        <f>LEFT(B424, FIND(" ",B424)-1)</f>
        <v>Pilgrim</v>
      </c>
      <c r="B424" s="4" t="s">
        <v>223</v>
      </c>
      <c r="C424" s="4" t="s">
        <v>83</v>
      </c>
      <c r="D424" t="s">
        <v>837</v>
      </c>
      <c r="E424">
        <v>560034</v>
      </c>
      <c r="F424" t="s">
        <v>19</v>
      </c>
      <c r="G424" s="7" t="s">
        <v>542</v>
      </c>
      <c r="H424" s="10" t="s">
        <v>539</v>
      </c>
      <c r="I424" s="4" t="s">
        <v>842</v>
      </c>
      <c r="J424" t="s">
        <v>887</v>
      </c>
      <c r="K424" s="4" t="s">
        <v>888</v>
      </c>
      <c r="L424" s="12">
        <v>0.17</v>
      </c>
    </row>
    <row r="425" spans="1:12" ht="15.75" x14ac:dyDescent="0.25">
      <c r="A425" t="str">
        <f>LEFT(B425, FIND(" ",B425)-1)</f>
        <v>Pilgrim</v>
      </c>
      <c r="B425" s="4" t="s">
        <v>330</v>
      </c>
      <c r="C425" s="4" t="s">
        <v>81</v>
      </c>
      <c r="D425" t="s">
        <v>837</v>
      </c>
      <c r="E425">
        <v>560034</v>
      </c>
      <c r="F425" t="s">
        <v>19</v>
      </c>
      <c r="G425" s="7" t="s">
        <v>664</v>
      </c>
      <c r="H425" s="10" t="s">
        <v>665</v>
      </c>
      <c r="I425" s="4" t="s">
        <v>847</v>
      </c>
      <c r="J425" t="s">
        <v>887</v>
      </c>
      <c r="K425" s="4" t="s">
        <v>888</v>
      </c>
      <c r="L425" s="12">
        <v>0.24</v>
      </c>
    </row>
    <row r="426" spans="1:12" ht="15.75" x14ac:dyDescent="0.25">
      <c r="A426" t="str">
        <f>LEFT(B426, FIND(" ",B426)-1)</f>
        <v>Pilgrim</v>
      </c>
      <c r="B426" s="4" t="s">
        <v>404</v>
      </c>
      <c r="C426" s="4" t="s">
        <v>240</v>
      </c>
      <c r="D426" t="s">
        <v>837</v>
      </c>
      <c r="E426">
        <v>560034</v>
      </c>
      <c r="F426" t="s">
        <v>19</v>
      </c>
      <c r="G426" s="7" t="s">
        <v>730</v>
      </c>
      <c r="H426" s="10" t="s">
        <v>731</v>
      </c>
      <c r="I426" s="4" t="s">
        <v>872</v>
      </c>
      <c r="J426" t="s">
        <v>887</v>
      </c>
      <c r="K426" s="4" t="s">
        <v>889</v>
      </c>
      <c r="L426" s="12">
        <v>0.5</v>
      </c>
    </row>
    <row r="427" spans="1:12" ht="15.75" x14ac:dyDescent="0.25">
      <c r="A427" t="str">
        <f>LEFT(B427, FIND(" ",B427)-1)</f>
        <v>Pilgrim</v>
      </c>
      <c r="B427" s="4" t="s">
        <v>405</v>
      </c>
      <c r="C427" s="4" t="s">
        <v>222</v>
      </c>
      <c r="D427" t="s">
        <v>837</v>
      </c>
      <c r="E427">
        <v>560034</v>
      </c>
      <c r="F427" t="s">
        <v>19</v>
      </c>
      <c r="G427" s="7" t="s">
        <v>635</v>
      </c>
      <c r="H427" s="10" t="s">
        <v>98</v>
      </c>
      <c r="I427" s="4" t="s">
        <v>98</v>
      </c>
      <c r="J427" t="s">
        <v>887</v>
      </c>
      <c r="K427" s="4" t="s">
        <v>889</v>
      </c>
      <c r="L427" t="s">
        <v>106</v>
      </c>
    </row>
    <row r="428" spans="1:12" ht="15.75" x14ac:dyDescent="0.25">
      <c r="A428" t="str">
        <f>LEFT(B428, FIND(" ",B428)-1)</f>
        <v>Pilgrim</v>
      </c>
      <c r="B428" s="4" t="s">
        <v>434</v>
      </c>
      <c r="C428" s="4" t="s">
        <v>81</v>
      </c>
      <c r="D428" t="s">
        <v>837</v>
      </c>
      <c r="E428">
        <v>560034</v>
      </c>
      <c r="F428" t="s">
        <v>19</v>
      </c>
      <c r="G428" s="7" t="s">
        <v>758</v>
      </c>
      <c r="H428" s="10" t="s">
        <v>551</v>
      </c>
      <c r="I428" s="4" t="s">
        <v>871</v>
      </c>
      <c r="J428" t="s">
        <v>887</v>
      </c>
      <c r="K428" s="4" t="s">
        <v>890</v>
      </c>
      <c r="L428" s="12">
        <v>0.31</v>
      </c>
    </row>
    <row r="429" spans="1:12" ht="15.75" x14ac:dyDescent="0.25">
      <c r="A429" t="str">
        <f>LEFT(B429, FIND(" ",B429)-1)</f>
        <v>Pilgrim</v>
      </c>
      <c r="B429" s="4" t="s">
        <v>446</v>
      </c>
      <c r="C429" s="4" t="s">
        <v>81</v>
      </c>
      <c r="D429" t="s">
        <v>837</v>
      </c>
      <c r="E429">
        <v>560034</v>
      </c>
      <c r="F429" t="s">
        <v>19</v>
      </c>
      <c r="G429" s="7" t="s">
        <v>762</v>
      </c>
      <c r="H429" s="10" t="s">
        <v>98</v>
      </c>
      <c r="I429" s="4" t="s">
        <v>98</v>
      </c>
      <c r="J429" t="s">
        <v>887</v>
      </c>
      <c r="K429" s="4" t="s">
        <v>889</v>
      </c>
      <c r="L429" t="s">
        <v>106</v>
      </c>
    </row>
    <row r="430" spans="1:12" ht="15.75" x14ac:dyDescent="0.25">
      <c r="A430" t="str">
        <f>LEFT(B430, FIND(" ",B430)-1)</f>
        <v>Plix</v>
      </c>
      <c r="B430" s="4" t="s">
        <v>358</v>
      </c>
      <c r="C430" s="4" t="s">
        <v>359</v>
      </c>
      <c r="D430" t="s">
        <v>837</v>
      </c>
      <c r="E430">
        <v>560034</v>
      </c>
      <c r="F430" t="s">
        <v>19</v>
      </c>
      <c r="G430" s="7" t="s">
        <v>638</v>
      </c>
      <c r="H430" s="10" t="s">
        <v>689</v>
      </c>
      <c r="I430" s="4" t="s">
        <v>839</v>
      </c>
      <c r="J430" t="s">
        <v>887</v>
      </c>
      <c r="K430" s="4" t="s">
        <v>889</v>
      </c>
      <c r="L430" s="12">
        <v>0.09</v>
      </c>
    </row>
    <row r="431" spans="1:12" ht="15.75" x14ac:dyDescent="0.25">
      <c r="A431" t="str">
        <f>LEFT(B431, FIND(" ",B431)-1)</f>
        <v>Plix</v>
      </c>
      <c r="B431" s="4" t="s">
        <v>382</v>
      </c>
      <c r="C431" s="4" t="s">
        <v>240</v>
      </c>
      <c r="D431" t="s">
        <v>837</v>
      </c>
      <c r="E431">
        <v>560034</v>
      </c>
      <c r="F431" t="s">
        <v>19</v>
      </c>
      <c r="G431" s="7" t="s">
        <v>715</v>
      </c>
      <c r="H431" s="10" t="s">
        <v>716</v>
      </c>
      <c r="I431" s="4" t="s">
        <v>879</v>
      </c>
      <c r="J431" t="s">
        <v>887</v>
      </c>
      <c r="K431" s="4" t="s">
        <v>889</v>
      </c>
      <c r="L431" s="12">
        <v>0.13</v>
      </c>
    </row>
    <row r="432" spans="1:12" ht="15.75" x14ac:dyDescent="0.25">
      <c r="A432" t="str">
        <f>LEFT(B432, FIND(" ",B432)-1)</f>
        <v>Plix</v>
      </c>
      <c r="B432" s="4" t="s">
        <v>442</v>
      </c>
      <c r="C432" s="4" t="s">
        <v>81</v>
      </c>
      <c r="D432" t="s">
        <v>837</v>
      </c>
      <c r="E432">
        <v>560034</v>
      </c>
      <c r="F432" t="s">
        <v>19</v>
      </c>
      <c r="G432" s="7" t="s">
        <v>683</v>
      </c>
      <c r="H432" s="10" t="s">
        <v>98</v>
      </c>
      <c r="I432" s="4" t="s">
        <v>98</v>
      </c>
      <c r="J432" t="s">
        <v>887</v>
      </c>
      <c r="K432" s="4" t="s">
        <v>888</v>
      </c>
      <c r="L432" t="s">
        <v>106</v>
      </c>
    </row>
    <row r="433" spans="1:12" x14ac:dyDescent="0.25">
      <c r="A433" t="s">
        <v>904</v>
      </c>
      <c r="B433" t="s">
        <v>905</v>
      </c>
      <c r="C433" t="s">
        <v>932</v>
      </c>
      <c r="D433" t="s">
        <v>18</v>
      </c>
      <c r="E433">
        <v>560034</v>
      </c>
      <c r="F433" t="s">
        <v>19</v>
      </c>
      <c r="G433" s="6">
        <v>335</v>
      </c>
      <c r="H433" t="s">
        <v>593</v>
      </c>
      <c r="I433" t="s">
        <v>956</v>
      </c>
      <c r="J433" t="s">
        <v>887</v>
      </c>
      <c r="K433" t="s">
        <v>889</v>
      </c>
      <c r="L433" s="12">
        <v>0.05</v>
      </c>
    </row>
    <row r="434" spans="1:12" x14ac:dyDescent="0.25">
      <c r="A434" t="s">
        <v>904</v>
      </c>
      <c r="B434" t="s">
        <v>920</v>
      </c>
      <c r="C434" t="s">
        <v>932</v>
      </c>
      <c r="D434" t="s">
        <v>18</v>
      </c>
      <c r="E434">
        <v>560034</v>
      </c>
      <c r="F434" t="s">
        <v>19</v>
      </c>
      <c r="G434" s="6">
        <v>368</v>
      </c>
      <c r="H434" t="s">
        <v>574</v>
      </c>
      <c r="I434" t="s">
        <v>963</v>
      </c>
      <c r="J434" t="s">
        <v>887</v>
      </c>
      <c r="K434" t="s">
        <v>889</v>
      </c>
      <c r="L434" s="12">
        <v>0.08</v>
      </c>
    </row>
    <row r="435" spans="1:12" x14ac:dyDescent="0.25">
      <c r="A435" t="s">
        <v>904</v>
      </c>
      <c r="B435" t="s">
        <v>920</v>
      </c>
      <c r="C435" t="s">
        <v>932</v>
      </c>
      <c r="D435" t="s">
        <v>18</v>
      </c>
      <c r="E435">
        <v>560034</v>
      </c>
      <c r="F435" t="s">
        <v>19</v>
      </c>
      <c r="G435" s="6">
        <v>368</v>
      </c>
      <c r="H435" t="s">
        <v>574</v>
      </c>
      <c r="I435" t="s">
        <v>963</v>
      </c>
      <c r="J435" t="s">
        <v>887</v>
      </c>
      <c r="K435" t="s">
        <v>889</v>
      </c>
      <c r="L435" s="12">
        <v>0.08</v>
      </c>
    </row>
    <row r="436" spans="1:12" x14ac:dyDescent="0.25">
      <c r="A436" t="s">
        <v>904</v>
      </c>
      <c r="B436" t="s">
        <v>905</v>
      </c>
      <c r="C436" t="s">
        <v>932</v>
      </c>
      <c r="D436" t="s">
        <v>18</v>
      </c>
      <c r="E436">
        <v>560034</v>
      </c>
      <c r="F436" t="s">
        <v>19</v>
      </c>
      <c r="G436" s="6">
        <v>335</v>
      </c>
      <c r="H436" t="s">
        <v>593</v>
      </c>
      <c r="I436" t="s">
        <v>956</v>
      </c>
      <c r="J436" t="s">
        <v>887</v>
      </c>
      <c r="K436" t="s">
        <v>889</v>
      </c>
      <c r="L436" s="12">
        <v>0.05</v>
      </c>
    </row>
    <row r="437" spans="1:12" ht="15.75" x14ac:dyDescent="0.25">
      <c r="A437" t="str">
        <f>LEFT(B437, FIND(" ",B437)-1)</f>
        <v>Plum</v>
      </c>
      <c r="B437" s="4" t="s">
        <v>468</v>
      </c>
      <c r="C437" s="4" t="s">
        <v>166</v>
      </c>
      <c r="D437" t="s">
        <v>837</v>
      </c>
      <c r="E437">
        <v>560034</v>
      </c>
      <c r="F437" t="s">
        <v>19</v>
      </c>
      <c r="G437" s="7" t="s">
        <v>764</v>
      </c>
      <c r="H437" s="10" t="s">
        <v>765</v>
      </c>
      <c r="I437" s="4" t="s">
        <v>843</v>
      </c>
      <c r="J437" t="s">
        <v>887</v>
      </c>
      <c r="K437" s="4" t="s">
        <v>889</v>
      </c>
      <c r="L437" s="12">
        <v>0.06</v>
      </c>
    </row>
    <row r="438" spans="1:12" ht="15.75" x14ac:dyDescent="0.25">
      <c r="A438" t="str">
        <f>LEFT(B438, FIND(" ",B438)-1)</f>
        <v>Praakritik</v>
      </c>
      <c r="B438" s="4" t="s">
        <v>350</v>
      </c>
      <c r="C438" s="4" t="s">
        <v>234</v>
      </c>
      <c r="D438" t="s">
        <v>837</v>
      </c>
      <c r="E438">
        <v>560034</v>
      </c>
      <c r="F438" t="s">
        <v>19</v>
      </c>
      <c r="G438" s="7" t="s">
        <v>683</v>
      </c>
      <c r="H438" s="10" t="s">
        <v>684</v>
      </c>
      <c r="I438" s="4" t="s">
        <v>838</v>
      </c>
      <c r="J438" t="s">
        <v>887</v>
      </c>
      <c r="K438" s="4" t="s">
        <v>888</v>
      </c>
      <c r="L438" s="12">
        <v>0.12</v>
      </c>
    </row>
    <row r="439" spans="1:12" ht="15.75" x14ac:dyDescent="0.25">
      <c r="A439" t="str">
        <f>LEFT(B439, FIND(" ",B439)-1)</f>
        <v>Quench</v>
      </c>
      <c r="B439" s="4" t="s">
        <v>426</v>
      </c>
      <c r="C439" s="4" t="s">
        <v>83</v>
      </c>
      <c r="D439" t="s">
        <v>837</v>
      </c>
      <c r="E439">
        <v>560034</v>
      </c>
      <c r="F439" t="s">
        <v>19</v>
      </c>
      <c r="G439" s="7" t="s">
        <v>748</v>
      </c>
      <c r="H439" s="10" t="s">
        <v>749</v>
      </c>
      <c r="I439" s="4" t="s">
        <v>845</v>
      </c>
      <c r="J439" t="s">
        <v>887</v>
      </c>
      <c r="K439" s="4" t="s">
        <v>889</v>
      </c>
      <c r="L439" s="12">
        <v>0.25</v>
      </c>
    </row>
    <row r="440" spans="1:12" ht="15.75" x14ac:dyDescent="0.25">
      <c r="A440" t="str">
        <f>LEFT(B440, FIND(" ",B440)-1)</f>
        <v>RAW</v>
      </c>
      <c r="B440" s="4" t="s">
        <v>342</v>
      </c>
      <c r="C440" s="4" t="s">
        <v>222</v>
      </c>
      <c r="D440" t="s">
        <v>837</v>
      </c>
      <c r="E440">
        <v>560034</v>
      </c>
      <c r="F440" t="s">
        <v>19</v>
      </c>
      <c r="G440" s="7" t="s">
        <v>677</v>
      </c>
      <c r="H440" s="10" t="s">
        <v>549</v>
      </c>
      <c r="I440" s="4" t="s">
        <v>871</v>
      </c>
      <c r="J440" t="s">
        <v>887</v>
      </c>
      <c r="K440" s="4" t="s">
        <v>888</v>
      </c>
      <c r="L440" s="12">
        <v>0.31</v>
      </c>
    </row>
    <row r="441" spans="1:12" ht="15.75" x14ac:dyDescent="0.25">
      <c r="A441" t="str">
        <f>LEFT(B441, FIND(" ",B441)-1)</f>
        <v>Raw</v>
      </c>
      <c r="B441" s="4" t="s">
        <v>343</v>
      </c>
      <c r="C441" s="4" t="s">
        <v>240</v>
      </c>
      <c r="D441" t="s">
        <v>837</v>
      </c>
      <c r="E441">
        <v>560034</v>
      </c>
      <c r="F441" t="s">
        <v>19</v>
      </c>
      <c r="G441" s="7" t="s">
        <v>641</v>
      </c>
      <c r="H441" s="10" t="s">
        <v>649</v>
      </c>
      <c r="I441" s="4" t="s">
        <v>847</v>
      </c>
      <c r="J441" t="s">
        <v>887</v>
      </c>
      <c r="K441" s="4" t="s">
        <v>888</v>
      </c>
      <c r="L441" s="12">
        <v>0.24</v>
      </c>
    </row>
    <row r="442" spans="1:12" ht="15.75" x14ac:dyDescent="0.25">
      <c r="A442" t="str">
        <f>LEFT(B442, FIND(" ",B442)-1)</f>
        <v>RAW</v>
      </c>
      <c r="B442" s="4" t="s">
        <v>345</v>
      </c>
      <c r="C442" s="4" t="s">
        <v>222</v>
      </c>
      <c r="D442" t="s">
        <v>837</v>
      </c>
      <c r="E442">
        <v>560034</v>
      </c>
      <c r="F442" t="s">
        <v>19</v>
      </c>
      <c r="G442" s="7" t="s">
        <v>677</v>
      </c>
      <c r="H442" s="10" t="s">
        <v>549</v>
      </c>
      <c r="I442" s="4" t="s">
        <v>871</v>
      </c>
      <c r="J442" t="s">
        <v>887</v>
      </c>
      <c r="K442" s="4" t="s">
        <v>888</v>
      </c>
      <c r="L442" s="12">
        <v>0.31</v>
      </c>
    </row>
    <row r="443" spans="1:12" ht="15.75" x14ac:dyDescent="0.25">
      <c r="A443" t="str">
        <f>LEFT(B443, FIND(" ",B443)-1)</f>
        <v>Rey</v>
      </c>
      <c r="B443" s="4" t="s">
        <v>304</v>
      </c>
      <c r="C443" s="4" t="s">
        <v>81</v>
      </c>
      <c r="D443" t="s">
        <v>837</v>
      </c>
      <c r="E443">
        <v>560034</v>
      </c>
      <c r="F443" t="s">
        <v>19</v>
      </c>
      <c r="G443" s="7" t="s">
        <v>640</v>
      </c>
      <c r="H443" s="10" t="s">
        <v>605</v>
      </c>
      <c r="I443" s="4" t="s">
        <v>844</v>
      </c>
      <c r="J443" t="s">
        <v>887</v>
      </c>
      <c r="K443" s="4" t="s">
        <v>888</v>
      </c>
      <c r="L443" s="12">
        <v>0.35</v>
      </c>
    </row>
    <row r="444" spans="1:12" ht="15.75" x14ac:dyDescent="0.25">
      <c r="A444" t="str">
        <f>LEFT(B444, FIND(" ",B444)-1)</f>
        <v>Rey</v>
      </c>
      <c r="B444" s="4" t="s">
        <v>319</v>
      </c>
      <c r="C444" s="4" t="s">
        <v>250</v>
      </c>
      <c r="D444" t="s">
        <v>837</v>
      </c>
      <c r="E444">
        <v>560034</v>
      </c>
      <c r="F444" t="s">
        <v>19</v>
      </c>
      <c r="G444" s="7" t="s">
        <v>650</v>
      </c>
      <c r="H444" s="10" t="s">
        <v>609</v>
      </c>
      <c r="I444" s="4" t="s">
        <v>866</v>
      </c>
      <c r="J444" t="s">
        <v>887</v>
      </c>
      <c r="K444" s="4" t="s">
        <v>888</v>
      </c>
      <c r="L444" s="12">
        <v>0.11</v>
      </c>
    </row>
    <row r="445" spans="1:12" ht="15.75" x14ac:dyDescent="0.25">
      <c r="A445" t="str">
        <f>LEFT(B445, FIND(" ",B445)-1)</f>
        <v>Salisia</v>
      </c>
      <c r="B445" s="4" t="s">
        <v>479</v>
      </c>
      <c r="C445" s="4" t="s">
        <v>391</v>
      </c>
      <c r="D445" t="s">
        <v>837</v>
      </c>
      <c r="E445">
        <v>560034</v>
      </c>
      <c r="F445" t="s">
        <v>19</v>
      </c>
      <c r="G445" s="7" t="s">
        <v>791</v>
      </c>
      <c r="H445" s="10" t="s">
        <v>792</v>
      </c>
      <c r="I445" s="4" t="s">
        <v>839</v>
      </c>
      <c r="J445" t="s">
        <v>887</v>
      </c>
      <c r="K445" s="4" t="s">
        <v>889</v>
      </c>
      <c r="L445" s="12">
        <v>0.09</v>
      </c>
    </row>
    <row r="446" spans="1:12" ht="15.75" x14ac:dyDescent="0.25">
      <c r="A446" t="str">
        <f>LEFT(B446, FIND(" ",B446)-1)</f>
        <v>Scalpe</v>
      </c>
      <c r="B446" s="4" t="s">
        <v>437</v>
      </c>
      <c r="C446" s="4" t="s">
        <v>83</v>
      </c>
      <c r="D446" t="s">
        <v>837</v>
      </c>
      <c r="E446">
        <v>560034</v>
      </c>
      <c r="F446" t="s">
        <v>19</v>
      </c>
      <c r="G446" s="7" t="s">
        <v>595</v>
      </c>
      <c r="H446" s="10" t="s">
        <v>568</v>
      </c>
      <c r="I446" s="4" t="s">
        <v>98</v>
      </c>
      <c r="J446" t="s">
        <v>887</v>
      </c>
      <c r="K446" s="4" t="s">
        <v>889</v>
      </c>
      <c r="L446" t="s">
        <v>106</v>
      </c>
    </row>
    <row r="447" spans="1:12" ht="15.75" x14ac:dyDescent="0.25">
      <c r="A447" t="str">
        <f>LEFT(B447, FIND(" ",B447)-1)</f>
        <v>Scalpe</v>
      </c>
      <c r="B447" s="4" t="s">
        <v>438</v>
      </c>
      <c r="C447" s="4" t="s">
        <v>391</v>
      </c>
      <c r="D447" t="s">
        <v>837</v>
      </c>
      <c r="E447">
        <v>560034</v>
      </c>
      <c r="F447" t="s">
        <v>19</v>
      </c>
      <c r="G447" s="7" t="s">
        <v>636</v>
      </c>
      <c r="H447" s="10" t="s">
        <v>570</v>
      </c>
      <c r="I447" s="4" t="s">
        <v>98</v>
      </c>
      <c r="J447" t="s">
        <v>887</v>
      </c>
      <c r="K447" s="4" t="s">
        <v>889</v>
      </c>
      <c r="L447" t="s">
        <v>106</v>
      </c>
    </row>
    <row r="448" spans="1:12" ht="15.75" x14ac:dyDescent="0.25">
      <c r="A448" t="str">
        <f>LEFT(B448, FIND(" ",B448)-1)</f>
        <v>Scalpe</v>
      </c>
      <c r="B448" s="4" t="s">
        <v>437</v>
      </c>
      <c r="C448" s="4" t="s">
        <v>81</v>
      </c>
      <c r="D448" t="s">
        <v>837</v>
      </c>
      <c r="E448">
        <v>560034</v>
      </c>
      <c r="F448" t="s">
        <v>19</v>
      </c>
      <c r="G448" s="7" t="s">
        <v>769</v>
      </c>
      <c r="H448" s="10" t="s">
        <v>593</v>
      </c>
      <c r="I448" s="4" t="s">
        <v>854</v>
      </c>
      <c r="J448" t="s">
        <v>887</v>
      </c>
      <c r="K448" s="4" t="s">
        <v>889</v>
      </c>
      <c r="L448" s="12">
        <v>0.2</v>
      </c>
    </row>
    <row r="449" spans="1:12" ht="15.75" x14ac:dyDescent="0.25">
      <c r="A449" t="str">
        <f>LEFT(B449, FIND(" ",B449)-1)</f>
        <v>Schwarzkopf</v>
      </c>
      <c r="B449" s="4" t="s">
        <v>457</v>
      </c>
      <c r="C449" s="4" t="s">
        <v>113</v>
      </c>
      <c r="D449" t="s">
        <v>837</v>
      </c>
      <c r="E449">
        <v>560034</v>
      </c>
      <c r="F449" t="s">
        <v>19</v>
      </c>
      <c r="G449" s="7" t="s">
        <v>774</v>
      </c>
      <c r="H449" s="10" t="s">
        <v>557</v>
      </c>
      <c r="I449" s="4" t="s">
        <v>839</v>
      </c>
      <c r="J449" t="s">
        <v>887</v>
      </c>
      <c r="K449" s="4" t="s">
        <v>889</v>
      </c>
      <c r="L449" s="12">
        <v>0.09</v>
      </c>
    </row>
    <row r="450" spans="1:12" ht="15.75" x14ac:dyDescent="0.25">
      <c r="A450" t="str">
        <f>LEFT(B450, FIND(" ",B450)-1)</f>
        <v>Sebamed</v>
      </c>
      <c r="B450" s="4" t="s">
        <v>441</v>
      </c>
      <c r="C450" s="4" t="s">
        <v>81</v>
      </c>
      <c r="D450" t="s">
        <v>837</v>
      </c>
      <c r="E450">
        <v>560034</v>
      </c>
      <c r="F450" t="s">
        <v>19</v>
      </c>
      <c r="G450" s="7" t="s">
        <v>706</v>
      </c>
      <c r="H450" s="10" t="s">
        <v>592</v>
      </c>
      <c r="I450" s="4" t="s">
        <v>868</v>
      </c>
      <c r="J450" t="s">
        <v>887</v>
      </c>
      <c r="K450" s="4" t="s">
        <v>888</v>
      </c>
      <c r="L450" s="12">
        <v>0.22</v>
      </c>
    </row>
    <row r="451" spans="1:12" ht="15.75" x14ac:dyDescent="0.25">
      <c r="A451" t="str">
        <f>LEFT(B451, FIND(" ",B451)-1)</f>
        <v>Sebamed</v>
      </c>
      <c r="B451" s="4" t="s">
        <v>502</v>
      </c>
      <c r="C451" s="4" t="s">
        <v>81</v>
      </c>
      <c r="D451" t="s">
        <v>837</v>
      </c>
      <c r="E451">
        <v>560034</v>
      </c>
      <c r="F451" t="s">
        <v>19</v>
      </c>
      <c r="G451" s="7" t="s">
        <v>819</v>
      </c>
      <c r="H451" s="10" t="s">
        <v>570</v>
      </c>
      <c r="I451" s="4" t="s">
        <v>876</v>
      </c>
      <c r="J451" t="s">
        <v>887</v>
      </c>
      <c r="K451" s="4" t="s">
        <v>889</v>
      </c>
      <c r="L451" s="12">
        <v>0.21</v>
      </c>
    </row>
    <row r="452" spans="1:12" ht="15.75" x14ac:dyDescent="0.25">
      <c r="A452" t="str">
        <f>LEFT(B452, FIND(" ",B452)-1)</f>
        <v>Sebamed</v>
      </c>
      <c r="B452" s="4" t="s">
        <v>503</v>
      </c>
      <c r="C452" s="4" t="s">
        <v>338</v>
      </c>
      <c r="D452" t="s">
        <v>837</v>
      </c>
      <c r="E452">
        <v>560034</v>
      </c>
      <c r="F452" t="s">
        <v>19</v>
      </c>
      <c r="G452" s="7" t="s">
        <v>683</v>
      </c>
      <c r="H452" s="10" t="s">
        <v>98</v>
      </c>
      <c r="I452" s="4" t="s">
        <v>98</v>
      </c>
      <c r="J452" t="s">
        <v>887</v>
      </c>
      <c r="K452" s="4" t="s">
        <v>889</v>
      </c>
      <c r="L452" t="s">
        <v>106</v>
      </c>
    </row>
    <row r="453" spans="1:12" ht="15.75" x14ac:dyDescent="0.25">
      <c r="A453" t="str">
        <f>LEFT(B453, FIND(" ",B453)-1)</f>
        <v>Sebastian</v>
      </c>
      <c r="B453" s="4" t="s">
        <v>337</v>
      </c>
      <c r="C453" s="4" t="s">
        <v>338</v>
      </c>
      <c r="D453" t="s">
        <v>837</v>
      </c>
      <c r="E453">
        <v>560034</v>
      </c>
      <c r="F453" t="s">
        <v>19</v>
      </c>
      <c r="G453" s="7" t="s">
        <v>671</v>
      </c>
      <c r="H453" s="10" t="s">
        <v>672</v>
      </c>
      <c r="I453" s="4" t="s">
        <v>860</v>
      </c>
      <c r="J453" t="s">
        <v>887</v>
      </c>
      <c r="K453" s="4" t="s">
        <v>889</v>
      </c>
      <c r="L453" s="12">
        <v>0.3</v>
      </c>
    </row>
    <row r="454" spans="1:12" ht="15.75" x14ac:dyDescent="0.25">
      <c r="A454" t="str">
        <f>LEFT(B454, FIND(" ",B454)-1)</f>
        <v>Selsun</v>
      </c>
      <c r="B454" s="4" t="s">
        <v>456</v>
      </c>
      <c r="C454" s="4" t="s">
        <v>248</v>
      </c>
      <c r="D454" t="s">
        <v>837</v>
      </c>
      <c r="E454">
        <v>560034</v>
      </c>
      <c r="F454" t="s">
        <v>19</v>
      </c>
      <c r="G454" s="7" t="s">
        <v>762</v>
      </c>
      <c r="H454" s="10" t="s">
        <v>98</v>
      </c>
      <c r="I454" s="4" t="s">
        <v>98</v>
      </c>
      <c r="J454" t="s">
        <v>887</v>
      </c>
      <c r="K454" s="4" t="s">
        <v>889</v>
      </c>
      <c r="L454" t="s">
        <v>106</v>
      </c>
    </row>
    <row r="455" spans="1:12" ht="15.75" x14ac:dyDescent="0.25">
      <c r="A455" t="str">
        <f>LEFT(B455, FIND(" ",B455)-1)</f>
        <v>Selsun</v>
      </c>
      <c r="B455" s="4" t="s">
        <v>504</v>
      </c>
      <c r="C455" s="4" t="s">
        <v>248</v>
      </c>
      <c r="D455" t="s">
        <v>837</v>
      </c>
      <c r="E455">
        <v>560034</v>
      </c>
      <c r="F455" t="s">
        <v>19</v>
      </c>
      <c r="G455" s="7" t="s">
        <v>820</v>
      </c>
      <c r="H455" s="10" t="s">
        <v>98</v>
      </c>
      <c r="I455" s="4" t="s">
        <v>98</v>
      </c>
      <c r="J455" t="s">
        <v>887</v>
      </c>
      <c r="K455" s="4" t="s">
        <v>889</v>
      </c>
      <c r="L455" t="s">
        <v>106</v>
      </c>
    </row>
    <row r="456" spans="1:12" x14ac:dyDescent="0.25">
      <c r="A456" t="s">
        <v>898</v>
      </c>
      <c r="B456" t="s">
        <v>899</v>
      </c>
      <c r="C456" t="s">
        <v>932</v>
      </c>
      <c r="D456" t="s">
        <v>18</v>
      </c>
      <c r="E456">
        <v>560034</v>
      </c>
      <c r="F456" t="s">
        <v>19</v>
      </c>
      <c r="G456" s="6">
        <v>546</v>
      </c>
      <c r="H456" t="s">
        <v>942</v>
      </c>
      <c r="I456" t="s">
        <v>948</v>
      </c>
      <c r="J456" t="s">
        <v>887</v>
      </c>
      <c r="K456" t="s">
        <v>889</v>
      </c>
      <c r="L456" s="12">
        <v>0.12</v>
      </c>
    </row>
    <row r="457" spans="1:12" x14ac:dyDescent="0.25">
      <c r="A457" t="s">
        <v>898</v>
      </c>
      <c r="B457" t="s">
        <v>899</v>
      </c>
      <c r="C457" t="s">
        <v>932</v>
      </c>
      <c r="D457" t="s">
        <v>18</v>
      </c>
      <c r="E457">
        <v>560034</v>
      </c>
      <c r="F457" t="s">
        <v>19</v>
      </c>
      <c r="G457" s="6">
        <v>546</v>
      </c>
      <c r="H457" t="s">
        <v>942</v>
      </c>
      <c r="I457" t="s">
        <v>948</v>
      </c>
      <c r="J457" t="s">
        <v>887</v>
      </c>
      <c r="K457" t="s">
        <v>889</v>
      </c>
      <c r="L457" s="12">
        <v>0.12</v>
      </c>
    </row>
    <row r="458" spans="1:12" ht="15.75" x14ac:dyDescent="0.25">
      <c r="A458" t="str">
        <f>LEFT(B458, FIND(" ",B458)-1)</f>
        <v>Soorrya</v>
      </c>
      <c r="B458" s="4" t="s">
        <v>347</v>
      </c>
      <c r="C458" s="4" t="s">
        <v>234</v>
      </c>
      <c r="D458" t="s">
        <v>837</v>
      </c>
      <c r="E458">
        <v>560034</v>
      </c>
      <c r="F458" t="s">
        <v>19</v>
      </c>
      <c r="G458" s="7" t="s">
        <v>568</v>
      </c>
      <c r="H458" s="10" t="s">
        <v>679</v>
      </c>
      <c r="I458" s="4" t="s">
        <v>846</v>
      </c>
      <c r="J458" t="s">
        <v>887</v>
      </c>
      <c r="K458" s="4" t="s">
        <v>889</v>
      </c>
      <c r="L458" s="12">
        <v>0.08</v>
      </c>
    </row>
    <row r="459" spans="1:12" ht="15.75" x14ac:dyDescent="0.25">
      <c r="A459" t="str">
        <f>LEFT(B459, FIND(" ",B459)-1)</f>
        <v>Soulflower</v>
      </c>
      <c r="B459" s="4" t="s">
        <v>239</v>
      </c>
      <c r="C459" s="4" t="s">
        <v>240</v>
      </c>
      <c r="D459" t="s">
        <v>837</v>
      </c>
      <c r="E459">
        <v>560034</v>
      </c>
      <c r="F459" t="s">
        <v>19</v>
      </c>
      <c r="G459" s="7" t="s">
        <v>563</v>
      </c>
      <c r="H459" s="10" t="s">
        <v>564</v>
      </c>
      <c r="I459" s="4" t="s">
        <v>852</v>
      </c>
      <c r="J459" t="s">
        <v>887</v>
      </c>
      <c r="K459" s="4" t="s">
        <v>889</v>
      </c>
      <c r="L459" s="12">
        <v>0.4</v>
      </c>
    </row>
    <row r="460" spans="1:12" ht="15.75" x14ac:dyDescent="0.25">
      <c r="A460" t="str">
        <f>LEFT(B460, FIND(" ",B460)-1)</f>
        <v>Soulflower</v>
      </c>
      <c r="B460" s="4" t="s">
        <v>247</v>
      </c>
      <c r="C460" s="4" t="s">
        <v>248</v>
      </c>
      <c r="D460" t="s">
        <v>837</v>
      </c>
      <c r="E460">
        <v>560034</v>
      </c>
      <c r="F460" t="s">
        <v>19</v>
      </c>
      <c r="G460" s="7" t="s">
        <v>575</v>
      </c>
      <c r="H460" s="10" t="s">
        <v>576</v>
      </c>
      <c r="I460" s="4" t="s">
        <v>98</v>
      </c>
      <c r="J460" t="s">
        <v>887</v>
      </c>
      <c r="K460" s="4" t="s">
        <v>890</v>
      </c>
      <c r="L460" t="s">
        <v>106</v>
      </c>
    </row>
    <row r="461" spans="1:12" ht="15.75" x14ac:dyDescent="0.25">
      <c r="A461" t="str">
        <f>LEFT(B461, FIND(" ",B461)-1)</f>
        <v>Soulflower</v>
      </c>
      <c r="B461" s="4" t="s">
        <v>249</v>
      </c>
      <c r="C461" s="4" t="s">
        <v>250</v>
      </c>
      <c r="D461" t="s">
        <v>837</v>
      </c>
      <c r="E461">
        <v>560034</v>
      </c>
      <c r="F461" t="s">
        <v>19</v>
      </c>
      <c r="G461" s="7" t="s">
        <v>577</v>
      </c>
      <c r="H461" s="10" t="s">
        <v>578</v>
      </c>
      <c r="I461" s="4" t="s">
        <v>857</v>
      </c>
      <c r="J461" t="s">
        <v>887</v>
      </c>
      <c r="K461" s="4" t="s">
        <v>889</v>
      </c>
      <c r="L461" s="12">
        <v>0.1</v>
      </c>
    </row>
    <row r="462" spans="1:12" ht="15.75" x14ac:dyDescent="0.25">
      <c r="A462" t="str">
        <f>LEFT(B462, FIND(" ",B462)-1)</f>
        <v>Soulflower</v>
      </c>
      <c r="B462" s="4" t="s">
        <v>269</v>
      </c>
      <c r="C462" s="4" t="s">
        <v>248</v>
      </c>
      <c r="D462" t="s">
        <v>837</v>
      </c>
      <c r="E462">
        <v>560034</v>
      </c>
      <c r="F462" t="s">
        <v>19</v>
      </c>
      <c r="G462" s="7" t="s">
        <v>575</v>
      </c>
      <c r="H462" s="10" t="s">
        <v>576</v>
      </c>
      <c r="I462" s="4" t="s">
        <v>98</v>
      </c>
      <c r="J462" t="s">
        <v>887</v>
      </c>
      <c r="K462" s="4" t="s">
        <v>888</v>
      </c>
      <c r="L462" t="s">
        <v>106</v>
      </c>
    </row>
    <row r="463" spans="1:12" ht="15.75" x14ac:dyDescent="0.25">
      <c r="A463" t="str">
        <f>LEFT(B463, FIND(" ",B463)-1)</f>
        <v>Soulflower</v>
      </c>
      <c r="B463" s="4" t="s">
        <v>286</v>
      </c>
      <c r="C463" s="4" t="s">
        <v>248</v>
      </c>
      <c r="D463" t="s">
        <v>837</v>
      </c>
      <c r="E463">
        <v>560034</v>
      </c>
      <c r="F463" t="s">
        <v>19</v>
      </c>
      <c r="G463" s="7" t="s">
        <v>622</v>
      </c>
      <c r="H463" s="10" t="s">
        <v>623</v>
      </c>
      <c r="I463" s="4" t="s">
        <v>98</v>
      </c>
      <c r="J463" t="s">
        <v>887</v>
      </c>
      <c r="K463" s="4" t="s">
        <v>889</v>
      </c>
      <c r="L463" t="s">
        <v>106</v>
      </c>
    </row>
    <row r="464" spans="1:12" ht="15.75" x14ac:dyDescent="0.25">
      <c r="A464" t="str">
        <f>LEFT(B464, FIND(" ",B464)-1)</f>
        <v>Soulflower</v>
      </c>
      <c r="B464" s="4" t="s">
        <v>294</v>
      </c>
      <c r="C464" s="4" t="s">
        <v>248</v>
      </c>
      <c r="D464" t="s">
        <v>837</v>
      </c>
      <c r="E464">
        <v>560034</v>
      </c>
      <c r="F464" t="s">
        <v>19</v>
      </c>
      <c r="G464" s="7" t="s">
        <v>575</v>
      </c>
      <c r="H464" s="10" t="s">
        <v>576</v>
      </c>
      <c r="I464" s="4" t="s">
        <v>98</v>
      </c>
      <c r="J464" t="s">
        <v>887</v>
      </c>
      <c r="K464" s="4" t="s">
        <v>889</v>
      </c>
      <c r="L464" t="s">
        <v>106</v>
      </c>
    </row>
    <row r="465" spans="1:12" ht="15.75" x14ac:dyDescent="0.25">
      <c r="A465" t="str">
        <f>LEFT(B465, FIND(" ",B465)-1)</f>
        <v>Soulflower</v>
      </c>
      <c r="B465" s="4" t="s">
        <v>303</v>
      </c>
      <c r="C465" s="4" t="s">
        <v>243</v>
      </c>
      <c r="D465" t="s">
        <v>837</v>
      </c>
      <c r="E465">
        <v>560034</v>
      </c>
      <c r="F465" t="s">
        <v>19</v>
      </c>
      <c r="G465" s="7" t="s">
        <v>639</v>
      </c>
      <c r="H465" s="10" t="s">
        <v>593</v>
      </c>
      <c r="I465" s="4" t="s">
        <v>872</v>
      </c>
      <c r="J465" t="s">
        <v>887</v>
      </c>
      <c r="K465" s="4" t="s">
        <v>889</v>
      </c>
      <c r="L465" s="12">
        <v>0.5</v>
      </c>
    </row>
    <row r="466" spans="1:12" ht="15.75" x14ac:dyDescent="0.25">
      <c r="A466" t="str">
        <f>LEFT(B466, FIND(" ",B466)-1)</f>
        <v>Soulflower</v>
      </c>
      <c r="B466" s="4" t="s">
        <v>316</v>
      </c>
      <c r="C466" s="4" t="s">
        <v>250</v>
      </c>
      <c r="D466" t="s">
        <v>837</v>
      </c>
      <c r="E466">
        <v>560034</v>
      </c>
      <c r="F466" t="s">
        <v>19</v>
      </c>
      <c r="G466" s="7" t="s">
        <v>577</v>
      </c>
      <c r="H466" s="10" t="s">
        <v>578</v>
      </c>
      <c r="I466" s="4" t="s">
        <v>857</v>
      </c>
      <c r="J466" t="s">
        <v>887</v>
      </c>
      <c r="K466" s="4" t="s">
        <v>888</v>
      </c>
      <c r="L466" s="12">
        <v>0.1</v>
      </c>
    </row>
    <row r="467" spans="1:12" ht="15.75" x14ac:dyDescent="0.25">
      <c r="A467" t="str">
        <f>LEFT(B467, FIND(" ",B467)-1)</f>
        <v>Streax</v>
      </c>
      <c r="B467" s="4" t="s">
        <v>352</v>
      </c>
      <c r="C467" s="4" t="s">
        <v>336</v>
      </c>
      <c r="D467" t="s">
        <v>837</v>
      </c>
      <c r="E467">
        <v>560034</v>
      </c>
      <c r="F467" t="s">
        <v>19</v>
      </c>
      <c r="G467" s="7" t="s">
        <v>656</v>
      </c>
      <c r="H467" s="10" t="s">
        <v>549</v>
      </c>
      <c r="I467" s="4" t="s">
        <v>862</v>
      </c>
      <c r="J467" t="s">
        <v>887</v>
      </c>
      <c r="K467" s="4" t="s">
        <v>889</v>
      </c>
      <c r="L467" s="12">
        <v>0.19</v>
      </c>
    </row>
    <row r="468" spans="1:12" ht="15.75" x14ac:dyDescent="0.25">
      <c r="A468" t="str">
        <f>LEFT(B468, FIND(" ",B468)-1)</f>
        <v>Streax</v>
      </c>
      <c r="B468" s="4" t="s">
        <v>355</v>
      </c>
      <c r="C468" s="4" t="s">
        <v>336</v>
      </c>
      <c r="D468" t="s">
        <v>837</v>
      </c>
      <c r="E468">
        <v>560034</v>
      </c>
      <c r="F468" t="s">
        <v>19</v>
      </c>
      <c r="G468" s="7" t="s">
        <v>604</v>
      </c>
      <c r="H468" s="10" t="s">
        <v>98</v>
      </c>
      <c r="I468" s="4" t="s">
        <v>98</v>
      </c>
      <c r="J468" t="s">
        <v>887</v>
      </c>
      <c r="K468" s="4" t="s">
        <v>889</v>
      </c>
      <c r="L468" t="s">
        <v>106</v>
      </c>
    </row>
    <row r="469" spans="1:12" ht="15.75" x14ac:dyDescent="0.25">
      <c r="A469" t="str">
        <f>LEFT(B469, FIND(" ",B469)-1)</f>
        <v>Streax</v>
      </c>
      <c r="B469" s="4" t="s">
        <v>364</v>
      </c>
      <c r="C469" s="4" t="s">
        <v>222</v>
      </c>
      <c r="D469" t="s">
        <v>837</v>
      </c>
      <c r="E469">
        <v>560034</v>
      </c>
      <c r="F469" t="s">
        <v>19</v>
      </c>
      <c r="G469" s="7" t="s">
        <v>559</v>
      </c>
      <c r="H469" s="10" t="s">
        <v>560</v>
      </c>
      <c r="I469" s="4" t="s">
        <v>850</v>
      </c>
      <c r="J469" t="s">
        <v>887</v>
      </c>
      <c r="K469" s="4" t="s">
        <v>888</v>
      </c>
      <c r="L469" s="12">
        <v>0.55000000000000004</v>
      </c>
    </row>
    <row r="470" spans="1:12" ht="15.75" x14ac:dyDescent="0.25">
      <c r="A470" t="str">
        <f>LEFT(B470, FIND(" ",B470)-1)</f>
        <v>Streax</v>
      </c>
      <c r="B470" s="4" t="s">
        <v>379</v>
      </c>
      <c r="C470" s="4" t="s">
        <v>83</v>
      </c>
      <c r="D470" t="s">
        <v>837</v>
      </c>
      <c r="E470">
        <v>560034</v>
      </c>
      <c r="F470" t="s">
        <v>19</v>
      </c>
      <c r="G470" s="7" t="s">
        <v>543</v>
      </c>
      <c r="H470" s="10" t="s">
        <v>591</v>
      </c>
      <c r="I470" s="4" t="s">
        <v>863</v>
      </c>
      <c r="J470" t="s">
        <v>887</v>
      </c>
      <c r="K470" s="4" t="s">
        <v>889</v>
      </c>
      <c r="L470" s="12">
        <v>0.41</v>
      </c>
    </row>
    <row r="471" spans="1:12" ht="15.75" x14ac:dyDescent="0.25">
      <c r="A471" t="str">
        <f>LEFT(B471, FIND(" ",B471)-1)</f>
        <v>Streax</v>
      </c>
      <c r="B471" s="4" t="s">
        <v>393</v>
      </c>
      <c r="C471" s="4" t="s">
        <v>83</v>
      </c>
      <c r="D471" t="s">
        <v>837</v>
      </c>
      <c r="E471">
        <v>560034</v>
      </c>
      <c r="F471" t="s">
        <v>19</v>
      </c>
      <c r="G471" s="7" t="s">
        <v>628</v>
      </c>
      <c r="H471" s="10" t="s">
        <v>570</v>
      </c>
      <c r="I471" s="4" t="s">
        <v>852</v>
      </c>
      <c r="J471" t="s">
        <v>887</v>
      </c>
      <c r="K471" s="4" t="s">
        <v>889</v>
      </c>
      <c r="L471" s="12">
        <v>0.4</v>
      </c>
    </row>
    <row r="472" spans="1:12" ht="15.75" x14ac:dyDescent="0.25">
      <c r="A472" t="str">
        <f>LEFT(B472, FIND(" ",B472)-1)</f>
        <v>Streax</v>
      </c>
      <c r="B472" s="4" t="s">
        <v>400</v>
      </c>
      <c r="C472" s="4" t="s">
        <v>81</v>
      </c>
      <c r="D472" t="s">
        <v>837</v>
      </c>
      <c r="E472">
        <v>560034</v>
      </c>
      <c r="F472" t="s">
        <v>19</v>
      </c>
      <c r="G472" s="7" t="s">
        <v>646</v>
      </c>
      <c r="H472" s="10" t="s">
        <v>549</v>
      </c>
      <c r="I472" s="4" t="s">
        <v>841</v>
      </c>
      <c r="J472" t="s">
        <v>887</v>
      </c>
      <c r="K472" s="4" t="s">
        <v>889</v>
      </c>
      <c r="L472" s="12">
        <v>0.14000000000000001</v>
      </c>
    </row>
    <row r="473" spans="1:12" ht="15.75" x14ac:dyDescent="0.25">
      <c r="A473" t="str">
        <f>LEFT(B473, FIND(" ",B473)-1)</f>
        <v>Streax</v>
      </c>
      <c r="B473" s="4" t="s">
        <v>352</v>
      </c>
      <c r="C473" s="4" t="s">
        <v>407</v>
      </c>
      <c r="D473" t="s">
        <v>837</v>
      </c>
      <c r="E473">
        <v>560034</v>
      </c>
      <c r="F473" t="s">
        <v>19</v>
      </c>
      <c r="G473" s="7" t="s">
        <v>731</v>
      </c>
      <c r="H473" s="10" t="s">
        <v>585</v>
      </c>
      <c r="I473" s="4" t="s">
        <v>839</v>
      </c>
      <c r="J473" t="s">
        <v>887</v>
      </c>
      <c r="K473" s="4" t="s">
        <v>889</v>
      </c>
      <c r="L473" s="12">
        <v>0.09</v>
      </c>
    </row>
    <row r="474" spans="1:12" ht="15.75" x14ac:dyDescent="0.25">
      <c r="A474" t="str">
        <f>LEFT(B474, FIND(" ",B474)-1)</f>
        <v>Streax</v>
      </c>
      <c r="B474" s="4" t="s">
        <v>352</v>
      </c>
      <c r="C474" s="4" t="s">
        <v>81</v>
      </c>
      <c r="D474" t="s">
        <v>837</v>
      </c>
      <c r="E474">
        <v>560034</v>
      </c>
      <c r="F474" t="s">
        <v>19</v>
      </c>
      <c r="G474" s="7" t="s">
        <v>736</v>
      </c>
      <c r="H474" s="10" t="s">
        <v>737</v>
      </c>
      <c r="I474" s="4" t="s">
        <v>841</v>
      </c>
      <c r="J474" t="s">
        <v>887</v>
      </c>
      <c r="K474" s="4" t="s">
        <v>889</v>
      </c>
      <c r="L474" s="12">
        <v>0.14000000000000001</v>
      </c>
    </row>
    <row r="475" spans="1:12" ht="15.75" x14ac:dyDescent="0.25">
      <c r="A475" t="str">
        <f>LEFT(B475, FIND(" ",B475)-1)</f>
        <v>Streax</v>
      </c>
      <c r="B475" s="4" t="s">
        <v>412</v>
      </c>
      <c r="C475" s="4" t="s">
        <v>240</v>
      </c>
      <c r="D475" t="s">
        <v>837</v>
      </c>
      <c r="E475">
        <v>560034</v>
      </c>
      <c r="F475" t="s">
        <v>19</v>
      </c>
      <c r="G475" s="7" t="s">
        <v>549</v>
      </c>
      <c r="H475" s="10" t="s">
        <v>604</v>
      </c>
      <c r="I475" s="4" t="s">
        <v>872</v>
      </c>
      <c r="J475" t="s">
        <v>887</v>
      </c>
      <c r="K475" s="4" t="s">
        <v>888</v>
      </c>
      <c r="L475" s="12">
        <v>0.5</v>
      </c>
    </row>
    <row r="476" spans="1:12" ht="15.75" x14ac:dyDescent="0.25">
      <c r="A476" s="4" t="s">
        <v>1029</v>
      </c>
      <c r="B476" s="4" t="s">
        <v>1030</v>
      </c>
      <c r="C476" s="4" t="s">
        <v>992</v>
      </c>
      <c r="D476" t="s">
        <v>18</v>
      </c>
      <c r="E476">
        <v>560034</v>
      </c>
      <c r="F476" t="s">
        <v>19</v>
      </c>
      <c r="G476" s="7">
        <v>144</v>
      </c>
      <c r="H476" s="4" t="s">
        <v>570</v>
      </c>
      <c r="I476" s="4" t="s">
        <v>952</v>
      </c>
      <c r="J476" t="s">
        <v>887</v>
      </c>
      <c r="K476" t="s">
        <v>889</v>
      </c>
      <c r="L476" s="12">
        <v>0.27</v>
      </c>
    </row>
    <row r="477" spans="1:12" ht="15.75" x14ac:dyDescent="0.25">
      <c r="A477" t="s">
        <v>206</v>
      </c>
      <c r="B477" t="s">
        <v>178</v>
      </c>
      <c r="C477" t="s">
        <v>179</v>
      </c>
      <c r="D477" t="s">
        <v>42</v>
      </c>
      <c r="E477">
        <v>560034</v>
      </c>
      <c r="F477" t="s">
        <v>19</v>
      </c>
      <c r="G477" s="6">
        <v>276</v>
      </c>
      <c r="H477" s="9">
        <v>370</v>
      </c>
      <c r="I477" t="s">
        <v>99</v>
      </c>
      <c r="J477" t="s">
        <v>887</v>
      </c>
      <c r="K477" s="4" t="s">
        <v>888</v>
      </c>
      <c r="L477" s="12">
        <v>0.25</v>
      </c>
    </row>
    <row r="478" spans="1:12" ht="15.75" x14ac:dyDescent="0.25">
      <c r="A478" t="s">
        <v>206</v>
      </c>
      <c r="B478" t="s">
        <v>181</v>
      </c>
      <c r="C478" t="s">
        <v>48</v>
      </c>
      <c r="D478" t="s">
        <v>42</v>
      </c>
      <c r="E478">
        <v>560034</v>
      </c>
      <c r="F478" t="s">
        <v>19</v>
      </c>
      <c r="G478" s="6">
        <v>185</v>
      </c>
      <c r="H478" s="9">
        <v>840</v>
      </c>
      <c r="I478" t="s">
        <v>62</v>
      </c>
      <c r="J478" t="s">
        <v>887</v>
      </c>
      <c r="K478" s="4" t="s">
        <v>889</v>
      </c>
      <c r="L478" s="12">
        <v>0.48</v>
      </c>
    </row>
    <row r="479" spans="1:12" ht="15.75" x14ac:dyDescent="0.25">
      <c r="A479" t="s">
        <v>206</v>
      </c>
      <c r="B479" t="s">
        <v>182</v>
      </c>
      <c r="C479" t="s">
        <v>51</v>
      </c>
      <c r="D479" t="s">
        <v>42</v>
      </c>
      <c r="E479">
        <v>560034</v>
      </c>
      <c r="F479" t="s">
        <v>19</v>
      </c>
      <c r="G479" s="6">
        <v>632</v>
      </c>
      <c r="H479" s="9">
        <v>390</v>
      </c>
      <c r="I479" t="s">
        <v>99</v>
      </c>
      <c r="J479" t="s">
        <v>887</v>
      </c>
      <c r="K479" s="4" t="s">
        <v>889</v>
      </c>
      <c r="L479" s="12">
        <v>0.25</v>
      </c>
    </row>
    <row r="480" spans="1:12" ht="15.75" x14ac:dyDescent="0.25">
      <c r="A480" t="s">
        <v>206</v>
      </c>
      <c r="B480" t="s">
        <v>183</v>
      </c>
      <c r="C480" t="s">
        <v>184</v>
      </c>
      <c r="D480" t="s">
        <v>42</v>
      </c>
      <c r="E480">
        <v>560034</v>
      </c>
      <c r="F480" t="s">
        <v>19</v>
      </c>
      <c r="G480" s="6">
        <v>624</v>
      </c>
      <c r="H480" s="9">
        <v>399</v>
      </c>
      <c r="I480" t="s">
        <v>63</v>
      </c>
      <c r="J480" t="s">
        <v>887</v>
      </c>
      <c r="K480" s="4" t="s">
        <v>889</v>
      </c>
      <c r="L480" s="12">
        <v>0.35</v>
      </c>
    </row>
    <row r="481" spans="1:12" ht="15.75" x14ac:dyDescent="0.25">
      <c r="A481" t="s">
        <v>206</v>
      </c>
      <c r="B481" t="s">
        <v>185</v>
      </c>
      <c r="C481" t="s">
        <v>53</v>
      </c>
      <c r="D481" t="s">
        <v>42</v>
      </c>
      <c r="E481">
        <v>560034</v>
      </c>
      <c r="F481" t="s">
        <v>19</v>
      </c>
      <c r="G481" s="6">
        <v>463</v>
      </c>
      <c r="H481" s="9">
        <v>1105</v>
      </c>
      <c r="I481" t="s">
        <v>161</v>
      </c>
      <c r="J481" t="s">
        <v>887</v>
      </c>
      <c r="K481" s="4" t="s">
        <v>888</v>
      </c>
      <c r="L481" s="12">
        <v>0.43</v>
      </c>
    </row>
    <row r="482" spans="1:12" ht="15.75" x14ac:dyDescent="0.25">
      <c r="A482" t="str">
        <f>LEFT(B482, FIND(" ",B482)-1)</f>
        <v>Sunsilk</v>
      </c>
      <c r="B482" s="4" t="s">
        <v>399</v>
      </c>
      <c r="C482" s="4" t="s">
        <v>83</v>
      </c>
      <c r="D482" t="s">
        <v>837</v>
      </c>
      <c r="E482">
        <v>560034</v>
      </c>
      <c r="F482" t="s">
        <v>19</v>
      </c>
      <c r="G482" s="7" t="s">
        <v>725</v>
      </c>
      <c r="H482" s="10" t="s">
        <v>726</v>
      </c>
      <c r="I482" s="4" t="s">
        <v>841</v>
      </c>
      <c r="J482" t="s">
        <v>887</v>
      </c>
      <c r="K482" s="4" t="s">
        <v>889</v>
      </c>
      <c r="L482" s="12">
        <v>0.14000000000000001</v>
      </c>
    </row>
    <row r="483" spans="1:12" ht="15.75" x14ac:dyDescent="0.25">
      <c r="A483" t="str">
        <f>LEFT(B483, FIND(" ",B483)-1)</f>
        <v>Sunsilk</v>
      </c>
      <c r="B483" s="4" t="s">
        <v>451</v>
      </c>
      <c r="C483" s="4" t="s">
        <v>48</v>
      </c>
      <c r="D483" t="s">
        <v>837</v>
      </c>
      <c r="E483">
        <v>560034</v>
      </c>
      <c r="F483" t="s">
        <v>19</v>
      </c>
      <c r="G483" s="7" t="s">
        <v>770</v>
      </c>
      <c r="H483" s="10" t="s">
        <v>771</v>
      </c>
      <c r="I483" s="4" t="s">
        <v>98</v>
      </c>
      <c r="J483" t="s">
        <v>887</v>
      </c>
      <c r="K483" s="4" t="s">
        <v>889</v>
      </c>
      <c r="L483" t="s">
        <v>106</v>
      </c>
    </row>
    <row r="484" spans="1:12" ht="15.75" x14ac:dyDescent="0.25">
      <c r="A484" t="s">
        <v>214</v>
      </c>
      <c r="B484" t="s">
        <v>186</v>
      </c>
      <c r="C484" t="s">
        <v>51</v>
      </c>
      <c r="D484" t="s">
        <v>42</v>
      </c>
      <c r="E484">
        <v>560034</v>
      </c>
      <c r="F484" t="s">
        <v>19</v>
      </c>
      <c r="G484" s="6">
        <v>414</v>
      </c>
      <c r="H484" s="9">
        <v>299</v>
      </c>
      <c r="I484" t="s">
        <v>57</v>
      </c>
      <c r="J484" t="s">
        <v>887</v>
      </c>
      <c r="K484" s="4" t="s">
        <v>889</v>
      </c>
      <c r="L484" s="12">
        <v>0.3</v>
      </c>
    </row>
    <row r="485" spans="1:12" ht="15.75" x14ac:dyDescent="0.25">
      <c r="A485" t="str">
        <f>LEFT(B485, FIND(" ",B485)-1)</f>
        <v>Tedibar</v>
      </c>
      <c r="B485" s="4" t="s">
        <v>505</v>
      </c>
      <c r="C485" s="4" t="s">
        <v>81</v>
      </c>
      <c r="D485" t="s">
        <v>837</v>
      </c>
      <c r="E485">
        <v>560034</v>
      </c>
      <c r="F485" t="s">
        <v>19</v>
      </c>
      <c r="G485" s="7" t="s">
        <v>682</v>
      </c>
      <c r="H485" s="10" t="s">
        <v>821</v>
      </c>
      <c r="I485" s="4" t="s">
        <v>839</v>
      </c>
      <c r="J485" t="s">
        <v>887</v>
      </c>
      <c r="K485" s="4" t="s">
        <v>889</v>
      </c>
      <c r="L485" s="12">
        <v>0.09</v>
      </c>
    </row>
    <row r="486" spans="1:12" ht="15.75" x14ac:dyDescent="0.25">
      <c r="A486" t="str">
        <f>LEFT(B486, FIND(" ",B486)-1)</f>
        <v>The</v>
      </c>
      <c r="B486" s="4" t="s">
        <v>323</v>
      </c>
      <c r="C486" s="4" t="s">
        <v>83</v>
      </c>
      <c r="D486" t="s">
        <v>837</v>
      </c>
      <c r="E486">
        <v>560034</v>
      </c>
      <c r="F486" t="s">
        <v>19</v>
      </c>
      <c r="G486" s="7" t="s">
        <v>604</v>
      </c>
      <c r="H486" s="10" t="s">
        <v>655</v>
      </c>
      <c r="I486" s="4" t="s">
        <v>854</v>
      </c>
      <c r="J486" t="s">
        <v>887</v>
      </c>
      <c r="K486" s="4" t="s">
        <v>888</v>
      </c>
      <c r="L486" s="12">
        <v>0.2</v>
      </c>
    </row>
    <row r="487" spans="1:12" ht="15.75" x14ac:dyDescent="0.25">
      <c r="A487" s="4" t="s">
        <v>1031</v>
      </c>
      <c r="B487" s="4" t="s">
        <v>1032</v>
      </c>
      <c r="C487" s="4" t="s">
        <v>1037</v>
      </c>
      <c r="D487" t="s">
        <v>18</v>
      </c>
      <c r="E487">
        <v>560034</v>
      </c>
      <c r="F487" t="s">
        <v>19</v>
      </c>
      <c r="G487" s="7">
        <v>2150</v>
      </c>
      <c r="H487" s="4" t="s">
        <v>581</v>
      </c>
      <c r="I487" s="4" t="s">
        <v>1025</v>
      </c>
      <c r="J487" t="s">
        <v>887</v>
      </c>
      <c r="K487" t="s">
        <v>889</v>
      </c>
      <c r="L487" s="12">
        <v>0.32</v>
      </c>
    </row>
    <row r="488" spans="1:12" ht="15.75" x14ac:dyDescent="0.25">
      <c r="A488" t="str">
        <f>LEFT(B488, FIND(" ",B488)-1)</f>
        <v>ThriveCo</v>
      </c>
      <c r="B488" s="4" t="s">
        <v>380</v>
      </c>
      <c r="C488" s="4" t="s">
        <v>222</v>
      </c>
      <c r="D488" t="s">
        <v>837</v>
      </c>
      <c r="E488">
        <v>560034</v>
      </c>
      <c r="F488" t="s">
        <v>19</v>
      </c>
      <c r="G488" s="7" t="s">
        <v>710</v>
      </c>
      <c r="H488" s="10" t="s">
        <v>592</v>
      </c>
      <c r="I488" s="4" t="s">
        <v>854</v>
      </c>
      <c r="J488" t="s">
        <v>887</v>
      </c>
      <c r="K488" s="4" t="s">
        <v>889</v>
      </c>
      <c r="L488" s="12">
        <v>0.2</v>
      </c>
    </row>
    <row r="489" spans="1:12" ht="15.75" x14ac:dyDescent="0.25">
      <c r="A489" t="str">
        <f>LEFT(B489, FIND(" ",B489)-1)</f>
        <v>ThriveCo</v>
      </c>
      <c r="B489" s="4" t="s">
        <v>394</v>
      </c>
      <c r="C489" s="4" t="s">
        <v>240</v>
      </c>
      <c r="D489" t="s">
        <v>837</v>
      </c>
      <c r="E489">
        <v>560034</v>
      </c>
      <c r="F489" t="s">
        <v>19</v>
      </c>
      <c r="G489" s="7" t="s">
        <v>588</v>
      </c>
      <c r="H489" s="10" t="s">
        <v>592</v>
      </c>
      <c r="I489" s="4" t="s">
        <v>878</v>
      </c>
      <c r="J489" t="s">
        <v>887</v>
      </c>
      <c r="K489" s="4" t="s">
        <v>889</v>
      </c>
      <c r="L489" s="12">
        <v>7.0000000000000007E-2</v>
      </c>
    </row>
    <row r="490" spans="1:12" x14ac:dyDescent="0.25">
      <c r="A490" t="s">
        <v>921</v>
      </c>
      <c r="B490" t="s">
        <v>922</v>
      </c>
      <c r="C490" t="s">
        <v>938</v>
      </c>
      <c r="D490" t="s">
        <v>18</v>
      </c>
      <c r="E490">
        <v>560034</v>
      </c>
      <c r="F490" t="s">
        <v>19</v>
      </c>
      <c r="G490" s="6">
        <v>379</v>
      </c>
      <c r="H490" t="s">
        <v>640</v>
      </c>
      <c r="I490" t="s">
        <v>964</v>
      </c>
      <c r="J490" t="s">
        <v>887</v>
      </c>
      <c r="K490" t="s">
        <v>889</v>
      </c>
      <c r="L490" s="12">
        <v>0.15</v>
      </c>
    </row>
    <row r="491" spans="1:12" x14ac:dyDescent="0.25">
      <c r="A491" t="s">
        <v>921</v>
      </c>
      <c r="B491" t="s">
        <v>922</v>
      </c>
      <c r="C491" t="s">
        <v>938</v>
      </c>
      <c r="D491" t="s">
        <v>18</v>
      </c>
      <c r="E491">
        <v>560034</v>
      </c>
      <c r="F491" t="s">
        <v>19</v>
      </c>
      <c r="G491" s="6">
        <v>379</v>
      </c>
      <c r="H491" t="s">
        <v>640</v>
      </c>
      <c r="I491" t="s">
        <v>964</v>
      </c>
      <c r="J491" t="s">
        <v>887</v>
      </c>
      <c r="K491" t="s">
        <v>889</v>
      </c>
      <c r="L491" s="12">
        <v>0.15</v>
      </c>
    </row>
    <row r="492" spans="1:12" ht="15.75" x14ac:dyDescent="0.25">
      <c r="A492" t="str">
        <f>LEFT(B492, FIND(" ",B492)-1)</f>
        <v>TNW</v>
      </c>
      <c r="B492" s="4" t="s">
        <v>282</v>
      </c>
      <c r="C492" s="4" t="s">
        <v>83</v>
      </c>
      <c r="D492" t="s">
        <v>837</v>
      </c>
      <c r="E492">
        <v>560034</v>
      </c>
      <c r="F492" t="s">
        <v>19</v>
      </c>
      <c r="G492" s="7" t="s">
        <v>570</v>
      </c>
      <c r="H492" s="10" t="s">
        <v>618</v>
      </c>
      <c r="I492" s="4" t="s">
        <v>851</v>
      </c>
      <c r="J492" t="s">
        <v>887</v>
      </c>
      <c r="K492" s="4" t="s">
        <v>889</v>
      </c>
      <c r="L492" s="12">
        <v>0.23</v>
      </c>
    </row>
    <row r="493" spans="1:12" ht="15.75" x14ac:dyDescent="0.25">
      <c r="A493" t="s">
        <v>14</v>
      </c>
      <c r="B493" t="s">
        <v>92</v>
      </c>
      <c r="C493" t="s">
        <v>96</v>
      </c>
      <c r="D493" t="s">
        <v>42</v>
      </c>
      <c r="E493">
        <v>560034</v>
      </c>
      <c r="F493" t="s">
        <v>19</v>
      </c>
      <c r="G493" s="6">
        <v>172</v>
      </c>
      <c r="H493" s="9" t="s">
        <v>98</v>
      </c>
      <c r="I493" t="s">
        <v>98</v>
      </c>
      <c r="J493" t="s">
        <v>887</v>
      </c>
      <c r="K493" s="4" t="s">
        <v>889</v>
      </c>
      <c r="L493" t="s">
        <v>106</v>
      </c>
    </row>
    <row r="494" spans="1:12" ht="15.75" x14ac:dyDescent="0.25">
      <c r="A494" t="s">
        <v>14</v>
      </c>
      <c r="B494" t="s">
        <v>92</v>
      </c>
      <c r="C494" t="s">
        <v>97</v>
      </c>
      <c r="D494" t="s">
        <v>42</v>
      </c>
      <c r="E494">
        <v>560034</v>
      </c>
      <c r="F494" t="s">
        <v>19</v>
      </c>
      <c r="G494" s="6">
        <v>448</v>
      </c>
      <c r="H494" s="9">
        <v>395</v>
      </c>
      <c r="I494" t="s">
        <v>105</v>
      </c>
      <c r="J494" t="s">
        <v>887</v>
      </c>
      <c r="K494" s="4" t="s">
        <v>889</v>
      </c>
      <c r="L494" s="12">
        <v>0.28000000000000003</v>
      </c>
    </row>
    <row r="495" spans="1:12" ht="15.75" x14ac:dyDescent="0.25">
      <c r="A495" t="s">
        <v>14</v>
      </c>
      <c r="B495" t="s">
        <v>187</v>
      </c>
      <c r="C495" t="s">
        <v>48</v>
      </c>
      <c r="D495" t="s">
        <v>42</v>
      </c>
      <c r="E495">
        <v>560034</v>
      </c>
      <c r="F495" t="s">
        <v>19</v>
      </c>
      <c r="G495" s="6">
        <v>172</v>
      </c>
      <c r="H495" s="9">
        <v>304</v>
      </c>
      <c r="I495" t="s">
        <v>120</v>
      </c>
      <c r="J495" t="s">
        <v>887</v>
      </c>
      <c r="K495" s="4" t="s">
        <v>891</v>
      </c>
      <c r="L495" s="12">
        <v>0.15</v>
      </c>
    </row>
    <row r="496" spans="1:12" ht="15.75" x14ac:dyDescent="0.25">
      <c r="A496" t="s">
        <v>208</v>
      </c>
      <c r="B496" t="s">
        <v>188</v>
      </c>
      <c r="C496" t="s">
        <v>189</v>
      </c>
      <c r="D496" t="s">
        <v>42</v>
      </c>
      <c r="E496">
        <v>560034</v>
      </c>
      <c r="F496" t="s">
        <v>19</v>
      </c>
      <c r="G496" s="6">
        <v>223</v>
      </c>
      <c r="H496" s="9">
        <v>285</v>
      </c>
      <c r="I496" t="s">
        <v>57</v>
      </c>
      <c r="J496" t="s">
        <v>887</v>
      </c>
      <c r="K496" s="4" t="s">
        <v>888</v>
      </c>
      <c r="L496" s="12">
        <v>0.3</v>
      </c>
    </row>
    <row r="497" spans="1:12" ht="15.75" x14ac:dyDescent="0.25">
      <c r="A497" t="s">
        <v>14</v>
      </c>
      <c r="B497" t="s">
        <v>187</v>
      </c>
      <c r="C497" t="s">
        <v>97</v>
      </c>
      <c r="D497" t="s">
        <v>42</v>
      </c>
      <c r="E497">
        <v>560034</v>
      </c>
      <c r="F497" t="s">
        <v>19</v>
      </c>
      <c r="G497" s="6">
        <v>444</v>
      </c>
      <c r="H497" s="9">
        <v>329</v>
      </c>
      <c r="I497" t="s">
        <v>161</v>
      </c>
      <c r="J497" t="s">
        <v>887</v>
      </c>
      <c r="K497" s="4" t="s">
        <v>888</v>
      </c>
      <c r="L497" s="12">
        <v>0.43</v>
      </c>
    </row>
    <row r="498" spans="1:12" ht="15.75" x14ac:dyDescent="0.25">
      <c r="A498" t="s">
        <v>14</v>
      </c>
      <c r="B498" t="s">
        <v>192</v>
      </c>
      <c r="C498" t="s">
        <v>97</v>
      </c>
      <c r="D498" t="s">
        <v>42</v>
      </c>
      <c r="E498">
        <v>560034</v>
      </c>
      <c r="F498" t="s">
        <v>19</v>
      </c>
      <c r="G498" s="6">
        <v>519</v>
      </c>
      <c r="H498" s="9">
        <v>1183</v>
      </c>
      <c r="I498" t="s">
        <v>161</v>
      </c>
      <c r="J498" t="s">
        <v>887</v>
      </c>
      <c r="K498" s="4" t="s">
        <v>889</v>
      </c>
      <c r="L498" s="12">
        <v>0.43</v>
      </c>
    </row>
    <row r="499" spans="1:12" ht="15.75" x14ac:dyDescent="0.25">
      <c r="A499" t="s">
        <v>14</v>
      </c>
      <c r="B499" t="s">
        <v>92</v>
      </c>
      <c r="C499" t="s">
        <v>97</v>
      </c>
      <c r="D499" t="s">
        <v>42</v>
      </c>
      <c r="E499">
        <v>560034</v>
      </c>
      <c r="F499" t="s">
        <v>19</v>
      </c>
      <c r="G499" s="6">
        <v>448</v>
      </c>
      <c r="H499" s="9">
        <v>435</v>
      </c>
      <c r="I499" t="s">
        <v>99</v>
      </c>
      <c r="J499" t="s">
        <v>887</v>
      </c>
      <c r="K499" s="4" t="s">
        <v>888</v>
      </c>
      <c r="L499" s="12">
        <v>0.25</v>
      </c>
    </row>
    <row r="500" spans="1:12" ht="15.75" x14ac:dyDescent="0.25">
      <c r="A500" t="s">
        <v>14</v>
      </c>
      <c r="B500" t="s">
        <v>193</v>
      </c>
      <c r="C500" t="s">
        <v>53</v>
      </c>
      <c r="D500" t="s">
        <v>42</v>
      </c>
      <c r="E500">
        <v>560034</v>
      </c>
      <c r="F500" t="s">
        <v>19</v>
      </c>
      <c r="G500" s="6">
        <v>894</v>
      </c>
      <c r="H500" s="9">
        <v>1183</v>
      </c>
      <c r="I500" t="s">
        <v>161</v>
      </c>
      <c r="J500" t="s">
        <v>887</v>
      </c>
      <c r="K500" s="4" t="s">
        <v>889</v>
      </c>
      <c r="L500" s="12">
        <v>0.43</v>
      </c>
    </row>
    <row r="501" spans="1:12" ht="15.75" x14ac:dyDescent="0.25">
      <c r="A501" t="str">
        <f>LEFT(B501, FIND(" ",B501)-1)</f>
        <v>Tresemme</v>
      </c>
      <c r="B501" s="4" t="s">
        <v>325</v>
      </c>
      <c r="C501" s="4" t="s">
        <v>83</v>
      </c>
      <c r="D501" t="s">
        <v>837</v>
      </c>
      <c r="E501">
        <v>560034</v>
      </c>
      <c r="F501" t="s">
        <v>19</v>
      </c>
      <c r="G501" s="7" t="s">
        <v>657</v>
      </c>
      <c r="H501" s="10" t="s">
        <v>570</v>
      </c>
      <c r="I501" s="4" t="s">
        <v>839</v>
      </c>
      <c r="J501" t="s">
        <v>887</v>
      </c>
      <c r="K501" s="4" t="s">
        <v>889</v>
      </c>
      <c r="L501" s="12">
        <v>0.09</v>
      </c>
    </row>
    <row r="502" spans="1:12" ht="15.75" x14ac:dyDescent="0.25">
      <c r="A502" t="str">
        <f>LEFT(B502, FIND(" ",B502)-1)</f>
        <v>Tresemme</v>
      </c>
      <c r="B502" s="4" t="s">
        <v>357</v>
      </c>
      <c r="C502" s="4" t="s">
        <v>222</v>
      </c>
      <c r="D502" t="s">
        <v>837</v>
      </c>
      <c r="E502">
        <v>560034</v>
      </c>
      <c r="F502" t="s">
        <v>19</v>
      </c>
      <c r="G502" s="7" t="s">
        <v>687</v>
      </c>
      <c r="H502" s="10" t="s">
        <v>688</v>
      </c>
      <c r="I502" s="4" t="s">
        <v>841</v>
      </c>
      <c r="J502" t="s">
        <v>887</v>
      </c>
      <c r="K502" s="4" t="s">
        <v>888</v>
      </c>
      <c r="L502" s="12">
        <v>0.14000000000000001</v>
      </c>
    </row>
    <row r="503" spans="1:12" ht="15.75" x14ac:dyDescent="0.25">
      <c r="A503" t="str">
        <f>LEFT(B503, FIND(" ",B503)-1)</f>
        <v>Tresemme</v>
      </c>
      <c r="B503" s="4" t="s">
        <v>370</v>
      </c>
      <c r="C503" s="4" t="s">
        <v>222</v>
      </c>
      <c r="D503" t="s">
        <v>837</v>
      </c>
      <c r="E503">
        <v>560034</v>
      </c>
      <c r="F503" t="s">
        <v>19</v>
      </c>
      <c r="G503" s="7" t="s">
        <v>604</v>
      </c>
      <c r="H503" s="10" t="s">
        <v>702</v>
      </c>
      <c r="I503" s="4" t="s">
        <v>878</v>
      </c>
      <c r="J503" t="s">
        <v>887</v>
      </c>
      <c r="K503" s="4" t="s">
        <v>888</v>
      </c>
      <c r="L503" s="12">
        <v>7.0000000000000007E-2</v>
      </c>
    </row>
    <row r="504" spans="1:12" ht="15.75" x14ac:dyDescent="0.25">
      <c r="A504" t="str">
        <f>LEFT(B504, FIND(" ",B504)-1)</f>
        <v>Tresemme</v>
      </c>
      <c r="B504" s="4" t="s">
        <v>373</v>
      </c>
      <c r="C504" s="4" t="s">
        <v>222</v>
      </c>
      <c r="D504" t="s">
        <v>837</v>
      </c>
      <c r="E504">
        <v>560034</v>
      </c>
      <c r="F504" t="s">
        <v>19</v>
      </c>
      <c r="G504" s="7" t="s">
        <v>579</v>
      </c>
      <c r="H504" s="10" t="s">
        <v>580</v>
      </c>
      <c r="I504" s="4" t="s">
        <v>858</v>
      </c>
      <c r="J504" t="s">
        <v>887</v>
      </c>
      <c r="K504" s="4" t="s">
        <v>889</v>
      </c>
      <c r="L504" s="12">
        <v>0.51</v>
      </c>
    </row>
    <row r="505" spans="1:12" ht="15.75" x14ac:dyDescent="0.25">
      <c r="A505" t="str">
        <f>LEFT(B505, FIND(" ",B505)-1)</f>
        <v>Tresemme</v>
      </c>
      <c r="B505" s="4" t="s">
        <v>357</v>
      </c>
      <c r="C505" s="4" t="s">
        <v>83</v>
      </c>
      <c r="D505" t="s">
        <v>837</v>
      </c>
      <c r="E505">
        <v>560034</v>
      </c>
      <c r="F505" t="s">
        <v>19</v>
      </c>
      <c r="G505" s="7" t="s">
        <v>711</v>
      </c>
      <c r="H505" s="10" t="s">
        <v>712</v>
      </c>
      <c r="I505" s="4" t="s">
        <v>874</v>
      </c>
      <c r="J505" t="s">
        <v>887</v>
      </c>
      <c r="K505" s="4" t="s">
        <v>889</v>
      </c>
      <c r="L505" s="12">
        <v>0.28999999999999998</v>
      </c>
    </row>
    <row r="506" spans="1:12" ht="15.75" x14ac:dyDescent="0.25">
      <c r="A506" t="str">
        <f>LEFT(B506, FIND(" ",B506)-1)</f>
        <v>Tresemme</v>
      </c>
      <c r="B506" s="4" t="s">
        <v>401</v>
      </c>
      <c r="C506" s="4" t="s">
        <v>83</v>
      </c>
      <c r="D506" t="s">
        <v>837</v>
      </c>
      <c r="E506">
        <v>560034</v>
      </c>
      <c r="F506" t="s">
        <v>19</v>
      </c>
      <c r="G506" s="7" t="s">
        <v>727</v>
      </c>
      <c r="H506" s="10" t="s">
        <v>716</v>
      </c>
      <c r="I506" s="4" t="s">
        <v>842</v>
      </c>
      <c r="J506" t="s">
        <v>887</v>
      </c>
      <c r="K506" s="4" t="s">
        <v>888</v>
      </c>
      <c r="L506" s="12">
        <v>0.17</v>
      </c>
    </row>
    <row r="507" spans="1:12" ht="15.75" x14ac:dyDescent="0.25">
      <c r="A507" t="str">
        <f>LEFT(B507, FIND(" ",B507)-1)</f>
        <v>Tresemme</v>
      </c>
      <c r="B507" s="4" t="s">
        <v>419</v>
      </c>
      <c r="C507" s="4" t="s">
        <v>420</v>
      </c>
      <c r="D507" t="s">
        <v>837</v>
      </c>
      <c r="E507">
        <v>560034</v>
      </c>
      <c r="F507" t="s">
        <v>19</v>
      </c>
      <c r="G507" s="7" t="s">
        <v>743</v>
      </c>
      <c r="H507" s="10" t="s">
        <v>744</v>
      </c>
      <c r="I507" s="4" t="s">
        <v>841</v>
      </c>
      <c r="J507" t="s">
        <v>887</v>
      </c>
      <c r="K507" s="4" t="s">
        <v>888</v>
      </c>
      <c r="L507" s="12">
        <v>0.14000000000000001</v>
      </c>
    </row>
    <row r="508" spans="1:12" ht="15.75" x14ac:dyDescent="0.25">
      <c r="A508" t="str">
        <f>LEFT(B508, FIND(" ",B508)-1)</f>
        <v>Tresemme</v>
      </c>
      <c r="B508" s="4" t="s">
        <v>421</v>
      </c>
      <c r="C508" s="4" t="s">
        <v>422</v>
      </c>
      <c r="D508" t="s">
        <v>837</v>
      </c>
      <c r="E508">
        <v>560034</v>
      </c>
      <c r="F508" t="s">
        <v>19</v>
      </c>
      <c r="G508" s="7" t="s">
        <v>729</v>
      </c>
      <c r="H508" s="10" t="s">
        <v>661</v>
      </c>
      <c r="I508" s="4" t="s">
        <v>857</v>
      </c>
      <c r="J508" t="s">
        <v>887</v>
      </c>
      <c r="K508" s="4" t="s">
        <v>888</v>
      </c>
      <c r="L508" s="12">
        <v>0.1</v>
      </c>
    </row>
    <row r="509" spans="1:12" ht="15.75" x14ac:dyDescent="0.25">
      <c r="A509" t="str">
        <f>LEFT(B509, FIND(" ",B509)-1)</f>
        <v>Tresemme</v>
      </c>
      <c r="B509" s="4" t="s">
        <v>427</v>
      </c>
      <c r="C509" s="4" t="s">
        <v>422</v>
      </c>
      <c r="D509" t="s">
        <v>837</v>
      </c>
      <c r="E509">
        <v>560034</v>
      </c>
      <c r="F509" t="s">
        <v>19</v>
      </c>
      <c r="G509" s="7" t="s">
        <v>750</v>
      </c>
      <c r="H509" s="10" t="s">
        <v>605</v>
      </c>
      <c r="I509" s="4" t="s">
        <v>842</v>
      </c>
      <c r="J509" t="s">
        <v>887</v>
      </c>
      <c r="K509" s="4" t="s">
        <v>889</v>
      </c>
      <c r="L509" s="12">
        <v>0.17</v>
      </c>
    </row>
    <row r="510" spans="1:12" ht="15.75" x14ac:dyDescent="0.25">
      <c r="A510" t="str">
        <f>LEFT(B510, FIND(" ",B510)-1)</f>
        <v>Tresemme</v>
      </c>
      <c r="B510" s="4" t="s">
        <v>187</v>
      </c>
      <c r="C510" s="4" t="s">
        <v>48</v>
      </c>
      <c r="D510" t="s">
        <v>837</v>
      </c>
      <c r="E510">
        <v>560034</v>
      </c>
      <c r="F510" t="s">
        <v>19</v>
      </c>
      <c r="G510" s="7" t="s">
        <v>592</v>
      </c>
      <c r="H510" s="10" t="s">
        <v>761</v>
      </c>
      <c r="I510" s="4" t="s">
        <v>879</v>
      </c>
      <c r="J510" t="s">
        <v>887</v>
      </c>
      <c r="K510" s="4" t="s">
        <v>890</v>
      </c>
      <c r="L510" s="12">
        <v>0.13</v>
      </c>
    </row>
    <row r="511" spans="1:12" ht="15.75" x14ac:dyDescent="0.25">
      <c r="A511" t="str">
        <f>LEFT(B511, FIND(" ",B511)-1)</f>
        <v>Tresemme</v>
      </c>
      <c r="B511" s="4" t="s">
        <v>187</v>
      </c>
      <c r="C511" s="4" t="s">
        <v>78</v>
      </c>
      <c r="D511" t="s">
        <v>837</v>
      </c>
      <c r="E511">
        <v>560034</v>
      </c>
      <c r="F511" t="s">
        <v>19</v>
      </c>
      <c r="G511" s="7" t="s">
        <v>638</v>
      </c>
      <c r="H511" s="10" t="s">
        <v>679</v>
      </c>
      <c r="I511" s="4" t="s">
        <v>879</v>
      </c>
      <c r="J511" t="s">
        <v>887</v>
      </c>
      <c r="K511" s="4" t="s">
        <v>889</v>
      </c>
      <c r="L511" s="12">
        <v>0.13</v>
      </c>
    </row>
    <row r="512" spans="1:12" ht="15.75" x14ac:dyDescent="0.25">
      <c r="A512" t="str">
        <f>LEFT(B512, FIND(" ",B512)-1)</f>
        <v>Tresemme</v>
      </c>
      <c r="B512" s="4" t="s">
        <v>92</v>
      </c>
      <c r="C512" s="4" t="s">
        <v>96</v>
      </c>
      <c r="D512" t="s">
        <v>837</v>
      </c>
      <c r="E512">
        <v>560034</v>
      </c>
      <c r="F512" t="s">
        <v>19</v>
      </c>
      <c r="G512" s="7" t="s">
        <v>611</v>
      </c>
      <c r="H512" s="10" t="s">
        <v>773</v>
      </c>
      <c r="I512" s="4" t="s">
        <v>867</v>
      </c>
      <c r="J512" t="s">
        <v>887</v>
      </c>
      <c r="K512" s="4" t="s">
        <v>888</v>
      </c>
      <c r="L512" s="12">
        <v>0.42</v>
      </c>
    </row>
    <row r="513" spans="1:12" ht="15.75" x14ac:dyDescent="0.25">
      <c r="A513" t="str">
        <f>LEFT(B513, FIND(" ",B513)-1)</f>
        <v>Tresemme</v>
      </c>
      <c r="B513" s="4" t="s">
        <v>480</v>
      </c>
      <c r="C513" s="4" t="s">
        <v>78</v>
      </c>
      <c r="D513" t="s">
        <v>837</v>
      </c>
      <c r="E513">
        <v>560034</v>
      </c>
      <c r="F513" t="s">
        <v>19</v>
      </c>
      <c r="G513" s="7" t="s">
        <v>793</v>
      </c>
      <c r="H513" s="10" t="s">
        <v>794</v>
      </c>
      <c r="I513" s="4" t="s">
        <v>879</v>
      </c>
      <c r="J513" t="s">
        <v>887</v>
      </c>
      <c r="K513" s="4" t="s">
        <v>891</v>
      </c>
      <c r="L513" s="12">
        <v>0.13</v>
      </c>
    </row>
    <row r="514" spans="1:12" ht="15.75" x14ac:dyDescent="0.25">
      <c r="A514" t="str">
        <f>LEFT(B514, FIND(" ",B514)-1)</f>
        <v>Tresemme</v>
      </c>
      <c r="B514" s="4" t="s">
        <v>484</v>
      </c>
      <c r="C514" s="4" t="s">
        <v>78</v>
      </c>
      <c r="D514" t="s">
        <v>837</v>
      </c>
      <c r="E514">
        <v>560034</v>
      </c>
      <c r="F514" t="s">
        <v>19</v>
      </c>
      <c r="G514" s="7" t="s">
        <v>796</v>
      </c>
      <c r="H514" s="10" t="s">
        <v>98</v>
      </c>
      <c r="I514" s="4" t="s">
        <v>98</v>
      </c>
      <c r="J514" t="s">
        <v>887</v>
      </c>
      <c r="K514" s="4" t="s">
        <v>889</v>
      </c>
      <c r="L514" t="s">
        <v>106</v>
      </c>
    </row>
    <row r="515" spans="1:12" ht="15.75" x14ac:dyDescent="0.25">
      <c r="A515" t="str">
        <f>LEFT(B515, FIND(" ",B515)-1)</f>
        <v>Tugain</v>
      </c>
      <c r="B515" s="4" t="s">
        <v>481</v>
      </c>
      <c r="C515" s="4" t="s">
        <v>81</v>
      </c>
      <c r="D515" t="s">
        <v>837</v>
      </c>
      <c r="E515">
        <v>560034</v>
      </c>
      <c r="F515" t="s">
        <v>19</v>
      </c>
      <c r="G515" s="7" t="s">
        <v>763</v>
      </c>
      <c r="H515" s="10" t="s">
        <v>557</v>
      </c>
      <c r="I515" s="4" t="s">
        <v>845</v>
      </c>
      <c r="J515" t="s">
        <v>887</v>
      </c>
      <c r="K515" s="4" t="s">
        <v>888</v>
      </c>
      <c r="L515" s="12">
        <v>0.25</v>
      </c>
    </row>
    <row r="516" spans="1:12" x14ac:dyDescent="0.25">
      <c r="A516" t="s">
        <v>913</v>
      </c>
      <c r="B516" t="s">
        <v>914</v>
      </c>
      <c r="C516" t="s">
        <v>932</v>
      </c>
      <c r="D516" t="s">
        <v>18</v>
      </c>
      <c r="E516">
        <v>560034</v>
      </c>
      <c r="F516" t="s">
        <v>19</v>
      </c>
      <c r="G516" s="6">
        <v>304</v>
      </c>
      <c r="H516" t="s">
        <v>945</v>
      </c>
      <c r="I516" t="s">
        <v>960</v>
      </c>
      <c r="J516" t="s">
        <v>887</v>
      </c>
      <c r="K516" t="s">
        <v>889</v>
      </c>
      <c r="L516" s="12">
        <v>0.14000000000000001</v>
      </c>
    </row>
    <row r="517" spans="1:12" x14ac:dyDescent="0.25">
      <c r="A517" t="s">
        <v>913</v>
      </c>
      <c r="B517" t="s">
        <v>914</v>
      </c>
      <c r="C517" t="s">
        <v>932</v>
      </c>
      <c r="D517" t="s">
        <v>18</v>
      </c>
      <c r="E517">
        <v>560034</v>
      </c>
      <c r="F517" t="s">
        <v>19</v>
      </c>
      <c r="G517" s="6">
        <v>304</v>
      </c>
      <c r="H517" t="s">
        <v>945</v>
      </c>
      <c r="I517" t="s">
        <v>960</v>
      </c>
      <c r="J517" t="s">
        <v>887</v>
      </c>
      <c r="K517" t="s">
        <v>889</v>
      </c>
      <c r="L517" s="12">
        <v>0.14000000000000001</v>
      </c>
    </row>
    <row r="518" spans="1:12" ht="15.75" x14ac:dyDescent="0.25">
      <c r="A518" t="str">
        <f>LEFT(B518, FIND(" ",B518)-1)</f>
        <v>Vasmol</v>
      </c>
      <c r="B518" s="4" t="s">
        <v>328</v>
      </c>
      <c r="C518" s="4" t="s">
        <v>329</v>
      </c>
      <c r="D518" t="s">
        <v>837</v>
      </c>
      <c r="E518">
        <v>560034</v>
      </c>
      <c r="F518" t="s">
        <v>19</v>
      </c>
      <c r="G518" s="7" t="s">
        <v>662</v>
      </c>
      <c r="H518" s="10" t="s">
        <v>663</v>
      </c>
      <c r="I518" s="4" t="s">
        <v>98</v>
      </c>
      <c r="J518" t="s">
        <v>887</v>
      </c>
      <c r="K518" s="4" t="s">
        <v>888</v>
      </c>
      <c r="L518" t="s">
        <v>106</v>
      </c>
    </row>
    <row r="519" spans="1:12" ht="15.75" x14ac:dyDescent="0.25">
      <c r="A519" t="str">
        <f>LEFT(B519, FIND(" ",B519)-1)</f>
        <v>Vasmol</v>
      </c>
      <c r="B519" s="4" t="s">
        <v>331</v>
      </c>
      <c r="C519" s="4" t="s">
        <v>83</v>
      </c>
      <c r="D519" t="s">
        <v>837</v>
      </c>
      <c r="E519">
        <v>560034</v>
      </c>
      <c r="F519" t="s">
        <v>19</v>
      </c>
      <c r="G519" s="7" t="s">
        <v>666</v>
      </c>
      <c r="H519" s="10" t="s">
        <v>667</v>
      </c>
      <c r="I519" s="4" t="s">
        <v>98</v>
      </c>
      <c r="J519" t="s">
        <v>887</v>
      </c>
      <c r="K519" s="4" t="s">
        <v>889</v>
      </c>
      <c r="L519" t="s">
        <v>106</v>
      </c>
    </row>
    <row r="520" spans="1:12" ht="15.75" x14ac:dyDescent="0.25">
      <c r="A520" t="str">
        <f>LEFT(B520, FIND(" ",B520)-1)</f>
        <v>Vatika</v>
      </c>
      <c r="B520" s="4" t="s">
        <v>288</v>
      </c>
      <c r="C520" s="4" t="s">
        <v>45</v>
      </c>
      <c r="D520" t="s">
        <v>837</v>
      </c>
      <c r="E520">
        <v>560034</v>
      </c>
      <c r="F520" t="s">
        <v>19</v>
      </c>
      <c r="G520" s="7" t="s">
        <v>626</v>
      </c>
      <c r="H520" s="10" t="s">
        <v>627</v>
      </c>
      <c r="I520" s="4" t="s">
        <v>854</v>
      </c>
      <c r="J520" t="s">
        <v>887</v>
      </c>
      <c r="K520" s="4" t="s">
        <v>889</v>
      </c>
      <c r="L520" s="12">
        <v>0.2</v>
      </c>
    </row>
    <row r="521" spans="1:12" ht="15.75" x14ac:dyDescent="0.25">
      <c r="A521" t="str">
        <f>LEFT(B521, FIND(" ",B521)-1)</f>
        <v>VVD</v>
      </c>
      <c r="B521" s="4" t="s">
        <v>283</v>
      </c>
      <c r="C521" s="4" t="s">
        <v>166</v>
      </c>
      <c r="D521" t="s">
        <v>837</v>
      </c>
      <c r="E521">
        <v>560034</v>
      </c>
      <c r="F521" t="s">
        <v>19</v>
      </c>
      <c r="G521" s="7" t="s">
        <v>619</v>
      </c>
      <c r="H521" s="10" t="s">
        <v>98</v>
      </c>
      <c r="I521" s="4" t="s">
        <v>98</v>
      </c>
      <c r="J521" t="s">
        <v>887</v>
      </c>
      <c r="K521" s="4" t="s">
        <v>889</v>
      </c>
      <c r="L521" t="s">
        <v>106</v>
      </c>
    </row>
    <row r="522" spans="1:12" ht="15.75" x14ac:dyDescent="0.25">
      <c r="A522" t="str">
        <f>LEFT(B522, FIND(" ",B522)-1)</f>
        <v>VVD</v>
      </c>
      <c r="B522" s="4" t="s">
        <v>307</v>
      </c>
      <c r="C522" s="4" t="s">
        <v>166</v>
      </c>
      <c r="D522" t="s">
        <v>837</v>
      </c>
      <c r="E522">
        <v>560034</v>
      </c>
      <c r="F522" t="s">
        <v>19</v>
      </c>
      <c r="G522" s="7" t="s">
        <v>642</v>
      </c>
      <c r="H522" s="10" t="s">
        <v>98</v>
      </c>
      <c r="I522" s="4" t="s">
        <v>98</v>
      </c>
      <c r="J522" t="s">
        <v>887</v>
      </c>
      <c r="K522" s="4" t="s">
        <v>889</v>
      </c>
      <c r="L522" t="s">
        <v>106</v>
      </c>
    </row>
    <row r="523" spans="1:12" ht="15.75" x14ac:dyDescent="0.25">
      <c r="A523" t="str">
        <f>LEFT(B523, FIND(" ",B523)-1)</f>
        <v>VVD</v>
      </c>
      <c r="B523" s="4" t="s">
        <v>321</v>
      </c>
      <c r="C523" s="4" t="s">
        <v>234</v>
      </c>
      <c r="D523" t="s">
        <v>837</v>
      </c>
      <c r="E523">
        <v>560034</v>
      </c>
      <c r="F523" t="s">
        <v>19</v>
      </c>
      <c r="G523" s="7" t="s">
        <v>654</v>
      </c>
      <c r="H523" s="10" t="s">
        <v>98</v>
      </c>
      <c r="I523" s="4" t="s">
        <v>98</v>
      </c>
      <c r="J523" t="s">
        <v>887</v>
      </c>
      <c r="K523" s="4" t="s">
        <v>889</v>
      </c>
      <c r="L523" t="s">
        <v>106</v>
      </c>
    </row>
    <row r="524" spans="1:12" x14ac:dyDescent="0.25">
      <c r="A524" t="s">
        <v>915</v>
      </c>
      <c r="B524" t="s">
        <v>916</v>
      </c>
      <c r="C524" t="s">
        <v>936</v>
      </c>
      <c r="D524" t="s">
        <v>18</v>
      </c>
      <c r="E524">
        <v>560034</v>
      </c>
      <c r="F524" t="s">
        <v>19</v>
      </c>
      <c r="G524" s="6">
        <v>860</v>
      </c>
      <c r="H524" t="s">
        <v>946</v>
      </c>
      <c r="I524" t="s">
        <v>961</v>
      </c>
      <c r="J524" t="s">
        <v>887</v>
      </c>
      <c r="K524" t="s">
        <v>889</v>
      </c>
      <c r="L524" s="12">
        <v>0.19</v>
      </c>
    </row>
    <row r="525" spans="1:12" x14ac:dyDescent="0.25">
      <c r="A525" t="s">
        <v>915</v>
      </c>
      <c r="B525" t="s">
        <v>916</v>
      </c>
      <c r="C525" t="s">
        <v>936</v>
      </c>
      <c r="D525" t="s">
        <v>18</v>
      </c>
      <c r="E525">
        <v>560034</v>
      </c>
      <c r="F525" t="s">
        <v>19</v>
      </c>
      <c r="G525" s="6">
        <v>860</v>
      </c>
      <c r="H525" t="s">
        <v>946</v>
      </c>
      <c r="I525" t="s">
        <v>961</v>
      </c>
      <c r="J525" t="s">
        <v>887</v>
      </c>
      <c r="K525" t="s">
        <v>888</v>
      </c>
      <c r="L525" s="12">
        <v>0.19</v>
      </c>
    </row>
    <row r="526" spans="1:12" x14ac:dyDescent="0.25">
      <c r="A526" t="s">
        <v>915</v>
      </c>
      <c r="B526" t="s">
        <v>986</v>
      </c>
      <c r="C526" t="s">
        <v>338</v>
      </c>
      <c r="D526" t="s">
        <v>18</v>
      </c>
      <c r="E526">
        <v>560034</v>
      </c>
      <c r="F526" t="s">
        <v>19</v>
      </c>
      <c r="G526" s="6">
        <v>1244</v>
      </c>
      <c r="H526" t="s">
        <v>996</v>
      </c>
      <c r="I526" t="s">
        <v>1004</v>
      </c>
      <c r="J526" t="s">
        <v>887</v>
      </c>
      <c r="K526" t="s">
        <v>889</v>
      </c>
      <c r="L526" s="12">
        <v>0.11</v>
      </c>
    </row>
    <row r="527" spans="1:12" ht="15.75" x14ac:dyDescent="0.25">
      <c r="A527" s="4" t="s">
        <v>915</v>
      </c>
      <c r="B527" s="4" t="s">
        <v>986</v>
      </c>
      <c r="C527" s="4" t="s">
        <v>338</v>
      </c>
      <c r="D527" t="s">
        <v>18</v>
      </c>
      <c r="E527">
        <v>560034</v>
      </c>
      <c r="F527" t="s">
        <v>19</v>
      </c>
      <c r="G527" s="7">
        <v>1244</v>
      </c>
      <c r="H527" s="4" t="s">
        <v>996</v>
      </c>
      <c r="I527" s="4" t="s">
        <v>1004</v>
      </c>
      <c r="J527" t="s">
        <v>887</v>
      </c>
      <c r="K527" t="s">
        <v>889</v>
      </c>
      <c r="L527" s="12">
        <v>0.11</v>
      </c>
    </row>
    <row r="528" spans="1:12" ht="15.75" x14ac:dyDescent="0.25">
      <c r="A528" s="4" t="s">
        <v>915</v>
      </c>
      <c r="B528" s="4" t="s">
        <v>986</v>
      </c>
      <c r="C528" s="4" t="s">
        <v>338</v>
      </c>
      <c r="D528" t="s">
        <v>18</v>
      </c>
      <c r="E528">
        <v>560034</v>
      </c>
      <c r="F528" t="s">
        <v>19</v>
      </c>
      <c r="G528" s="7">
        <v>1244</v>
      </c>
      <c r="H528" s="4" t="s">
        <v>996</v>
      </c>
      <c r="I528" s="4" t="s">
        <v>1004</v>
      </c>
      <c r="J528" t="s">
        <v>887</v>
      </c>
      <c r="K528" t="s">
        <v>889</v>
      </c>
      <c r="L528" s="12">
        <v>0.11</v>
      </c>
    </row>
    <row r="529" spans="1:12" ht="15.75" x14ac:dyDescent="0.25">
      <c r="A529" t="str">
        <f>LEFT(B529, FIND(" ",B529)-1)</f>
        <v>WishCare</v>
      </c>
      <c r="B529" s="4" t="s">
        <v>253</v>
      </c>
      <c r="C529" s="4" t="s">
        <v>81</v>
      </c>
      <c r="D529" t="s">
        <v>837</v>
      </c>
      <c r="E529">
        <v>560034</v>
      </c>
      <c r="F529" t="s">
        <v>19</v>
      </c>
      <c r="G529" s="7" t="s">
        <v>581</v>
      </c>
      <c r="H529" s="10" t="s">
        <v>544</v>
      </c>
      <c r="I529" s="4" t="s">
        <v>854</v>
      </c>
      <c r="J529" t="s">
        <v>887</v>
      </c>
      <c r="K529" s="4" t="s">
        <v>888</v>
      </c>
      <c r="L529" s="12">
        <v>0.2</v>
      </c>
    </row>
    <row r="530" spans="1:12" ht="15.75" x14ac:dyDescent="0.25">
      <c r="A530" t="str">
        <f>LEFT(B530, FIND(" ",B530)-1)</f>
        <v>WishCare</v>
      </c>
      <c r="B530" s="4" t="s">
        <v>284</v>
      </c>
      <c r="C530" s="4" t="s">
        <v>81</v>
      </c>
      <c r="D530" t="s">
        <v>837</v>
      </c>
      <c r="E530">
        <v>560034</v>
      </c>
      <c r="F530" t="s">
        <v>19</v>
      </c>
      <c r="G530" s="7" t="s">
        <v>570</v>
      </c>
      <c r="H530" s="10" t="s">
        <v>620</v>
      </c>
      <c r="I530" s="4" t="s">
        <v>854</v>
      </c>
      <c r="J530" t="s">
        <v>887</v>
      </c>
      <c r="K530" s="4" t="s">
        <v>889</v>
      </c>
      <c r="L530" s="12">
        <v>0.2</v>
      </c>
    </row>
    <row r="531" spans="1:12" ht="15.75" x14ac:dyDescent="0.25">
      <c r="A531" t="str">
        <f>LEFT(B531, FIND(" ",B531)-1)</f>
        <v>Wishcare</v>
      </c>
      <c r="B531" s="4" t="s">
        <v>365</v>
      </c>
      <c r="C531" s="4" t="s">
        <v>240</v>
      </c>
      <c r="D531" t="s">
        <v>837</v>
      </c>
      <c r="E531">
        <v>560034</v>
      </c>
      <c r="F531" t="s">
        <v>19</v>
      </c>
      <c r="G531" s="7" t="s">
        <v>619</v>
      </c>
      <c r="H531" s="10" t="s">
        <v>570</v>
      </c>
      <c r="I531" s="4" t="s">
        <v>862</v>
      </c>
      <c r="J531" t="s">
        <v>887</v>
      </c>
      <c r="K531" s="4" t="s">
        <v>889</v>
      </c>
      <c r="L531" s="12">
        <v>0.19</v>
      </c>
    </row>
    <row r="532" spans="1:12" ht="15.75" x14ac:dyDescent="0.25">
      <c r="A532" t="str">
        <f>LEFT(B532, FIND(" ",B532)-1)</f>
        <v>WishCare</v>
      </c>
      <c r="B532" s="4" t="s">
        <v>371</v>
      </c>
      <c r="C532" s="4" t="s">
        <v>372</v>
      </c>
      <c r="D532" t="s">
        <v>837</v>
      </c>
      <c r="E532">
        <v>560034</v>
      </c>
      <c r="F532" t="s">
        <v>19</v>
      </c>
      <c r="G532" s="7" t="s">
        <v>663</v>
      </c>
      <c r="H532" s="10" t="s">
        <v>679</v>
      </c>
      <c r="I532" s="4" t="s">
        <v>841</v>
      </c>
      <c r="J532" t="s">
        <v>887</v>
      </c>
      <c r="K532" s="4" t="s">
        <v>889</v>
      </c>
      <c r="L532" s="12">
        <v>0.14000000000000001</v>
      </c>
    </row>
    <row r="533" spans="1:12" ht="15.75" x14ac:dyDescent="0.25">
      <c r="A533" t="str">
        <f>LEFT(B533, FIND(" ",B533)-1)</f>
        <v>WishCare</v>
      </c>
      <c r="B533" s="4" t="s">
        <v>398</v>
      </c>
      <c r="C533" s="4" t="s">
        <v>83</v>
      </c>
      <c r="D533" t="s">
        <v>837</v>
      </c>
      <c r="E533">
        <v>560034</v>
      </c>
      <c r="F533" t="s">
        <v>19</v>
      </c>
      <c r="G533" s="7" t="s">
        <v>716</v>
      </c>
      <c r="H533" s="10" t="s">
        <v>649</v>
      </c>
      <c r="I533" s="4" t="s">
        <v>98</v>
      </c>
      <c r="J533" t="s">
        <v>887</v>
      </c>
      <c r="K533" s="4" t="s">
        <v>888</v>
      </c>
      <c r="L533" t="s">
        <v>106</v>
      </c>
    </row>
    <row r="534" spans="1:12" ht="15.75" x14ac:dyDescent="0.25">
      <c r="A534" t="str">
        <f>LEFT(B534, FIND(" ",B534)-1)</f>
        <v>WishCare</v>
      </c>
      <c r="B534" s="4" t="s">
        <v>416</v>
      </c>
      <c r="C534" s="4" t="s">
        <v>83</v>
      </c>
      <c r="D534" t="s">
        <v>837</v>
      </c>
      <c r="E534">
        <v>560034</v>
      </c>
      <c r="F534" t="s">
        <v>19</v>
      </c>
      <c r="G534" s="7" t="s">
        <v>625</v>
      </c>
      <c r="H534" s="10" t="s">
        <v>587</v>
      </c>
      <c r="I534" s="4" t="s">
        <v>841</v>
      </c>
      <c r="J534" t="s">
        <v>887</v>
      </c>
      <c r="K534" s="4" t="s">
        <v>889</v>
      </c>
      <c r="L534" s="12">
        <v>0.14000000000000001</v>
      </c>
    </row>
    <row r="535" spans="1:12" ht="15.75" x14ac:dyDescent="0.25">
      <c r="A535" t="str">
        <f>LEFT(B535, FIND(" ",B535)-1)</f>
        <v>WishCare</v>
      </c>
      <c r="B535" s="4" t="s">
        <v>452</v>
      </c>
      <c r="C535" s="4" t="s">
        <v>166</v>
      </c>
      <c r="D535" t="s">
        <v>837</v>
      </c>
      <c r="E535">
        <v>560034</v>
      </c>
      <c r="F535" t="s">
        <v>19</v>
      </c>
      <c r="G535" s="7" t="s">
        <v>772</v>
      </c>
      <c r="H535" s="10" t="s">
        <v>98</v>
      </c>
      <c r="I535" s="4" t="s">
        <v>98</v>
      </c>
      <c r="J535" t="s">
        <v>887</v>
      </c>
      <c r="K535" s="4" t="s">
        <v>889</v>
      </c>
      <c r="L535" t="s">
        <v>106</v>
      </c>
    </row>
    <row r="536" spans="1:12" ht="15.75" x14ac:dyDescent="0.25">
      <c r="A536" t="str">
        <f>LEFT(B536, FIND(" ",B536)-1)</f>
        <v>WishCare</v>
      </c>
      <c r="B536" s="4" t="s">
        <v>487</v>
      </c>
      <c r="C536" s="4" t="s">
        <v>488</v>
      </c>
      <c r="D536" t="s">
        <v>837</v>
      </c>
      <c r="E536">
        <v>560034</v>
      </c>
      <c r="F536" t="s">
        <v>19</v>
      </c>
      <c r="G536" s="7" t="s">
        <v>799</v>
      </c>
      <c r="H536" s="10" t="s">
        <v>566</v>
      </c>
      <c r="I536" s="4" t="s">
        <v>877</v>
      </c>
      <c r="J536" t="s">
        <v>887</v>
      </c>
      <c r="K536" s="4" t="s">
        <v>889</v>
      </c>
      <c r="L536" s="12">
        <v>0.05</v>
      </c>
    </row>
    <row r="537" spans="1:12" ht="15.75" x14ac:dyDescent="0.25">
      <c r="A537" t="str">
        <f>LEFT(B537, FIND(" ",B537)-1)</f>
        <v>WishCare</v>
      </c>
      <c r="B537" s="4" t="s">
        <v>489</v>
      </c>
      <c r="C537" s="4" t="s">
        <v>166</v>
      </c>
      <c r="D537" t="s">
        <v>837</v>
      </c>
      <c r="E537">
        <v>560034</v>
      </c>
      <c r="F537" t="s">
        <v>19</v>
      </c>
      <c r="G537" s="7" t="s">
        <v>649</v>
      </c>
      <c r="H537" s="10" t="s">
        <v>604</v>
      </c>
      <c r="I537" s="4" t="s">
        <v>840</v>
      </c>
      <c r="J537" t="s">
        <v>887</v>
      </c>
      <c r="K537" s="4" t="s">
        <v>889</v>
      </c>
      <c r="L537" s="12">
        <v>0.16</v>
      </c>
    </row>
    <row r="538" spans="1:12" x14ac:dyDescent="0.25">
      <c r="A538" t="s">
        <v>926</v>
      </c>
      <c r="B538" t="s">
        <v>927</v>
      </c>
      <c r="C538" t="s">
        <v>936</v>
      </c>
      <c r="D538" t="s">
        <v>18</v>
      </c>
      <c r="E538">
        <v>560034</v>
      </c>
      <c r="F538" t="s">
        <v>19</v>
      </c>
      <c r="G538" s="6">
        <v>399</v>
      </c>
      <c r="H538" t="s">
        <v>649</v>
      </c>
      <c r="I538" t="s">
        <v>954</v>
      </c>
      <c r="J538" t="s">
        <v>887</v>
      </c>
      <c r="K538" t="s">
        <v>889</v>
      </c>
      <c r="L538" s="12">
        <v>0.2</v>
      </c>
    </row>
    <row r="539" spans="1:12" x14ac:dyDescent="0.25">
      <c r="A539" t="s">
        <v>926</v>
      </c>
      <c r="B539" t="s">
        <v>927</v>
      </c>
      <c r="C539" t="s">
        <v>936</v>
      </c>
      <c r="D539" t="s">
        <v>18</v>
      </c>
      <c r="E539">
        <v>560034</v>
      </c>
      <c r="F539" t="s">
        <v>19</v>
      </c>
      <c r="G539" s="6">
        <v>399</v>
      </c>
      <c r="H539" t="s">
        <v>649</v>
      </c>
      <c r="I539" t="s">
        <v>954</v>
      </c>
      <c r="J539" t="s">
        <v>887</v>
      </c>
      <c r="K539" t="s">
        <v>889</v>
      </c>
      <c r="L539" s="12">
        <v>0.2</v>
      </c>
    </row>
    <row r="540" spans="1:12" ht="15.75" x14ac:dyDescent="0.25">
      <c r="A540" t="str">
        <f>LEFT(B540, FIND(" ",B540)-1)</f>
        <v>Wow</v>
      </c>
      <c r="B540" s="4" t="s">
        <v>485</v>
      </c>
      <c r="C540" s="4" t="s">
        <v>45</v>
      </c>
      <c r="D540" t="s">
        <v>837</v>
      </c>
      <c r="E540">
        <v>560034</v>
      </c>
      <c r="F540" t="s">
        <v>19</v>
      </c>
      <c r="G540" s="7" t="s">
        <v>797</v>
      </c>
      <c r="H540" s="10" t="s">
        <v>566</v>
      </c>
      <c r="I540" s="4" t="s">
        <v>871</v>
      </c>
      <c r="J540" t="s">
        <v>887</v>
      </c>
      <c r="K540" s="4" t="s">
        <v>889</v>
      </c>
      <c r="L540" s="12">
        <v>0.31</v>
      </c>
    </row>
  </sheetData>
  <sortState xmlns:xlrd2="http://schemas.microsoft.com/office/spreadsheetml/2017/richdata2" ref="A2:L540">
    <sortCondition ref="A482:A540"/>
  </sortState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7"/>
  <sheetViews>
    <sheetView tabSelected="1" workbookViewId="0">
      <selection activeCell="D2" sqref="D2:D7"/>
    </sheetView>
  </sheetViews>
  <sheetFormatPr defaultRowHeight="15" x14ac:dyDescent="0.25"/>
  <cols>
    <col min="1" max="1" width="16.85546875" bestFit="1" customWidth="1"/>
    <col min="2" max="2" width="20.5703125" bestFit="1" customWidth="1"/>
    <col min="3" max="3" width="16" style="13" bestFit="1" customWidth="1"/>
    <col min="4" max="4" width="17.7109375" bestFit="1" customWidth="1"/>
  </cols>
  <sheetData>
    <row r="1" spans="1:4" x14ac:dyDescent="0.25">
      <c r="A1" t="s">
        <v>0</v>
      </c>
      <c r="B1" t="s">
        <v>20</v>
      </c>
      <c r="C1" s="13" t="s">
        <v>21</v>
      </c>
      <c r="D1" t="s">
        <v>22</v>
      </c>
    </row>
    <row r="2" spans="1:4" x14ac:dyDescent="0.25">
      <c r="A2" t="s">
        <v>12</v>
      </c>
      <c r="B2" t="s">
        <v>1044</v>
      </c>
      <c r="C2" s="13">
        <f>AVERAGEIFS('Raw Data'!L:L,'Raw Data'!A:A,'Brand Summary'!A2)</f>
        <v>0.26787234042553193</v>
      </c>
      <c r="D2" t="s">
        <v>1045</v>
      </c>
    </row>
    <row r="3" spans="1:4" x14ac:dyDescent="0.25">
      <c r="A3" t="s">
        <v>17</v>
      </c>
      <c r="B3" t="s">
        <v>1044</v>
      </c>
      <c r="C3" s="13">
        <f>AVERAGEIFS('Raw Data'!L:L,'Raw Data'!A:A,'Brand Summary'!A3)</f>
        <v>0.31499999999999995</v>
      </c>
      <c r="D3" t="s">
        <v>1045</v>
      </c>
    </row>
    <row r="4" spans="1:4" x14ac:dyDescent="0.25">
      <c r="A4" t="s">
        <v>10</v>
      </c>
      <c r="B4" t="s">
        <v>1044</v>
      </c>
      <c r="C4" s="13">
        <f>AVERAGEIFS('Raw Data'!L:L,'Raw Data'!A:A,'Brand Summary'!A4)</f>
        <v>0.21833333333333335</v>
      </c>
      <c r="D4" t="s">
        <v>1045</v>
      </c>
    </row>
    <row r="5" spans="1:4" x14ac:dyDescent="0.25">
      <c r="A5" t="s">
        <v>14</v>
      </c>
      <c r="B5" t="s">
        <v>1044</v>
      </c>
      <c r="C5" s="13">
        <f>AVERAGEIFS('Raw Data'!L:L,'Raw Data'!A:A,'Brand Summary'!A5)</f>
        <v>0.23799999999999999</v>
      </c>
      <c r="D5" t="s">
        <v>1045</v>
      </c>
    </row>
    <row r="6" spans="1:4" x14ac:dyDescent="0.25">
      <c r="A6" t="s">
        <v>16</v>
      </c>
      <c r="B6" t="s">
        <v>1044</v>
      </c>
      <c r="C6" s="13">
        <f>AVERAGEIFS('Raw Data'!L:L,'Raw Data'!A:A,'Brand Summary'!A6)</f>
        <v>0.47</v>
      </c>
      <c r="D6" t="s">
        <v>1045</v>
      </c>
    </row>
    <row r="7" spans="1:4" x14ac:dyDescent="0.25">
      <c r="A7" t="s">
        <v>15</v>
      </c>
      <c r="B7" t="s">
        <v>1044</v>
      </c>
      <c r="C7" s="13">
        <f>AVERAGEIFS('Raw Data'!L:L,'Raw Data'!A:A,'Brand Summary'!A7)</f>
        <v>0.46499999999999997</v>
      </c>
      <c r="D7" t="s">
        <v>1045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"/>
  <sheetViews>
    <sheetView workbookViewId="0"/>
  </sheetViews>
  <sheetFormatPr defaultRowHeight="15" x14ac:dyDescent="0.25"/>
  <cols>
    <col min="2" max="2" width="22" bestFit="1" customWidth="1"/>
    <col min="3" max="3" width="13.7109375" bestFit="1" customWidth="1"/>
    <col min="4" max="4" width="17.7109375" bestFit="1" customWidth="1"/>
  </cols>
  <sheetData>
    <row r="1" spans="1:5" x14ac:dyDescent="0.25">
      <c r="A1" t="s">
        <v>2</v>
      </c>
      <c r="B1" t="s">
        <v>23</v>
      </c>
      <c r="C1" t="s">
        <v>24</v>
      </c>
      <c r="D1" t="s">
        <v>22</v>
      </c>
      <c r="E1" t="s">
        <v>25</v>
      </c>
    </row>
    <row r="2" spans="1:5" x14ac:dyDescent="0.25">
      <c r="A2" t="s">
        <v>11</v>
      </c>
    </row>
    <row r="3" spans="1:5" x14ac:dyDescent="0.25">
      <c r="A3" t="s">
        <v>18</v>
      </c>
    </row>
    <row r="4" spans="1:5" x14ac:dyDescent="0.25">
      <c r="A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Brand Summary</vt:lpstr>
      <vt:lpstr>Platform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Wasif Nasim</cp:lastModifiedBy>
  <dcterms:created xsi:type="dcterms:W3CDTF">2026-04-19T12:14:59Z</dcterms:created>
  <dcterms:modified xsi:type="dcterms:W3CDTF">2026-04-20T18:08:01Z</dcterms:modified>
</cp:coreProperties>
</file>